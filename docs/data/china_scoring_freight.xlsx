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560" firstSheet="2" activeTab="2"/>
  </bookViews>
  <sheets>
    <sheet name="Ч1" sheetId="28" state="hidden" r:id="rId1"/>
    <sheet name="Ч2" sheetId="29" state="hidden" r:id="rId2"/>
    <sheet name="中国 rFBS" sheetId="31" r:id="rId3"/>
    <sheet name="Список без неинтегр. 3PL" sheetId="3" state="hidden" r:id="rId4"/>
    <sheet name="Лист1" sheetId="1" state="hidden" r:id="rId5"/>
    <sheet name="Лист2" sheetId="2" state="hidden" r:id="rId6"/>
  </sheets>
  <externalReferences>
    <externalReference r:id="rId7"/>
  </externalReferences>
  <definedNames>
    <definedName name="_xlnm._FilterDatabase" localSheetId="0" hidden="1">Ч1!$A$1:$C$234</definedName>
    <definedName name="_xlnm._FilterDatabase" localSheetId="2" hidden="1">'中国 rFBS'!$A$5:$V$164</definedName>
    <definedName name="f0dc96c6222a403080c007be8425481a0" comment="8​​9​3‌d‌a​e‌c‍8​b​7​1‌a​4‌1‌1‍f​a​1‌b‌8​5‌1‌9‍2​4​6‌f​0​5‌7‍4​9​f​3‌d‌a‌5​e‍5​1​b‌f​b​4​4‍5​3​4‌b‌a‌4‌8​a‍6​3​1​9‌7‌d​f​0‍b​0​7‌b​9​d‌0​4‍3​a​c‌d​2​1​c‍4​8​2‌f‌b​9​c​4‍6​6​a‌2‌2​0‌b‌4‍2​2​7‌e​0​1​3‍1​6​9‌8‌b​b‌4​2‍5​4​0​4‌c​9‌4‌5‍b​e​6​a‌4​5‌5​b‍d​6" hidden="1">[1]Sheet1!$A$1</definedName>
    <definedName name="f0dc96c6222a403080c007be8425481a1" comment="​e‌3​‌‌‍​​‌‌​​​‍​​‌‌​‌​‍​​‌‌‌​​‍​​​‌​​​‍​​‌​​​​‍​​​‌‌​‌‍​​‌​‌‌​‍​​‌‌​​‌‍​​‌​​​​7" hidden="1">[1]Sheet1!$A$1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<sst xmlns="http://schemas.openxmlformats.org/spreadsheetml/2006/main" count="5656" uniqueCount="438">
  <si>
    <t>DeliveryVariantName</t>
  </si>
  <si>
    <t>template_id</t>
  </si>
  <si>
    <t>nbg</t>
  </si>
  <si>
    <t>Leader Economy Extra Small</t>
  </si>
  <si>
    <t>7D Economy Small</t>
  </si>
  <si>
    <t>7D Express Small</t>
  </si>
  <si>
    <t>7D Standard Big</t>
  </si>
  <si>
    <t>7D Standard Premium Small</t>
  </si>
  <si>
    <t>7D Standard Small</t>
  </si>
  <si>
    <t>7D Standard Extra Small</t>
  </si>
  <si>
    <t>ABT Economy Big</t>
  </si>
  <si>
    <t>ABT Economy Budget</t>
  </si>
  <si>
    <t>ABT Economy Extra Small</t>
  </si>
  <si>
    <t>ABT Economy Premium Big</t>
  </si>
  <si>
    <t>ABT Economy Premium Small</t>
  </si>
  <si>
    <t>ABT Economy Small</t>
  </si>
  <si>
    <t>ABT Express Big</t>
  </si>
  <si>
    <t>ABT Express Budget</t>
  </si>
  <si>
    <t>ABT Express Extra Small</t>
  </si>
  <si>
    <t>ABT Express Premium Big</t>
  </si>
  <si>
    <t>ABT Express Premium Small</t>
  </si>
  <si>
    <t>ABT Express Small</t>
  </si>
  <si>
    <t>ABT Standard Big</t>
  </si>
  <si>
    <t>ABT Standard Budget</t>
  </si>
  <si>
    <t>ABT Standard Extra Small</t>
  </si>
  <si>
    <t>ABT Standard Premium Big</t>
  </si>
  <si>
    <t>ABT Standard Premium Small</t>
  </si>
  <si>
    <t>ABT Standard Small</t>
  </si>
  <si>
    <t>ATC Economy Big</t>
  </si>
  <si>
    <t>ATC Economy Budget</t>
  </si>
  <si>
    <t>ATC Economy Extra Small</t>
  </si>
  <si>
    <t>ATC Economy Premium Big</t>
  </si>
  <si>
    <t>ATC Economy Premium Small</t>
  </si>
  <si>
    <t>ATC Economy Small</t>
  </si>
  <si>
    <t>ATC Standard Big</t>
  </si>
  <si>
    <t>ATC Standard Budget</t>
  </si>
  <si>
    <t>ATC Standard Extra Small</t>
  </si>
  <si>
    <t>ATC Standard Premium Big</t>
  </si>
  <si>
    <t>ATC Standard Premium Small</t>
  </si>
  <si>
    <t>ATC Standard Small</t>
  </si>
  <si>
    <t>CEL Economy Big</t>
  </si>
  <si>
    <t>CEL Economy Budget</t>
  </si>
  <si>
    <t>CEL Economy Extra Small</t>
  </si>
  <si>
    <t>CEL Economy Premium Big</t>
  </si>
  <si>
    <t>CEL Economy Premium Small</t>
  </si>
  <si>
    <t>CEL Economy Small</t>
  </si>
  <si>
    <t>CEL Express Big</t>
  </si>
  <si>
    <t>CEL Express Budget</t>
  </si>
  <si>
    <t>CEL Express Extra Small</t>
  </si>
  <si>
    <t>CEL Express Premium Big</t>
  </si>
  <si>
    <t>CEL Express Premium Small</t>
  </si>
  <si>
    <t>CEL Express Small</t>
  </si>
  <si>
    <t>CEL Standard Big</t>
  </si>
  <si>
    <t>CEL Standard Budget</t>
  </si>
  <si>
    <t>CEL Standard Extra Small</t>
  </si>
  <si>
    <t>CEL Standard Premium Big</t>
  </si>
  <si>
    <t>CEL Standard Premium Small</t>
  </si>
  <si>
    <t>CEL Standard Small</t>
  </si>
  <si>
    <t>GBS Economy Budget</t>
  </si>
  <si>
    <t>GBS Economy Premium Small</t>
  </si>
  <si>
    <t>GBS Economy Small</t>
  </si>
  <si>
    <t>GBS Express Budget</t>
  </si>
  <si>
    <t>GBS Express Premium Small</t>
  </si>
  <si>
    <t>GBS Express Small</t>
  </si>
  <si>
    <t>GBS Standard Budget</t>
  </si>
  <si>
    <t>GBS Standard Premium Small</t>
  </si>
  <si>
    <t>GBS Standard Small</t>
  </si>
  <si>
    <t>GUOO Economy Big</t>
  </si>
  <si>
    <t>GUOO Economy Budget</t>
  </si>
  <si>
    <t>GUOO Economy Extra Small</t>
  </si>
  <si>
    <t>GUOO Economy Premium Big</t>
  </si>
  <si>
    <t>GUOO Economy Premium Small</t>
  </si>
  <si>
    <t>GUOO Economy Small</t>
  </si>
  <si>
    <t>GUOO Express Extra Small</t>
  </si>
  <si>
    <t>GUOO Express Premium Small</t>
  </si>
  <si>
    <t>GUOO Express Small</t>
  </si>
  <si>
    <t>GUOO Standard Big</t>
  </si>
  <si>
    <t>GUOO Standard Budget</t>
  </si>
  <si>
    <t>GUOO Standard Extra Small</t>
  </si>
  <si>
    <t>GUOO Standard Premium Big</t>
  </si>
  <si>
    <t>GUOO Standard Premium Small</t>
  </si>
  <si>
    <t>GUOO Standard Small</t>
  </si>
  <si>
    <t>IML Economy Big</t>
  </si>
  <si>
    <t>IML Economy Budget</t>
  </si>
  <si>
    <t>IML Economy Extra Small</t>
  </si>
  <si>
    <t>IML Economy Premium Big</t>
  </si>
  <si>
    <t>IML Economy Small</t>
  </si>
  <si>
    <t>IML Express Big</t>
  </si>
  <si>
    <t>IML Express Budget</t>
  </si>
  <si>
    <t>IML Express Extra Small</t>
  </si>
  <si>
    <t>IML Express Premium Big</t>
  </si>
  <si>
    <t>IML Express Premium Small</t>
  </si>
  <si>
    <t>IML Express Small</t>
  </si>
  <si>
    <t>IML Standard Big</t>
  </si>
  <si>
    <t>IML Standard Budget</t>
  </si>
  <si>
    <t>IML Standard Extra Small</t>
  </si>
  <si>
    <t>IML Standard Premium Big</t>
  </si>
  <si>
    <t>IML Standard Premium Small</t>
  </si>
  <si>
    <t>IML Standard Small</t>
  </si>
  <si>
    <t>Leader Economy Premium Small</t>
  </si>
  <si>
    <t>Leader Standard Extra Small</t>
  </si>
  <si>
    <t>Leader Standard Premium Small</t>
  </si>
  <si>
    <t>Leader Standard Small</t>
  </si>
  <si>
    <t>OYX Economy Big</t>
  </si>
  <si>
    <t>OYX Economy Budget</t>
  </si>
  <si>
    <t>OYX Economy Extra Small</t>
  </si>
  <si>
    <t>OYX Economy Premium Big</t>
  </si>
  <si>
    <t>OYX Economy Premium Small</t>
  </si>
  <si>
    <t>OYX Economy Small</t>
  </si>
  <si>
    <t>OYX Express Big</t>
  </si>
  <si>
    <t>OYX Express Budget</t>
  </si>
  <si>
    <t>OYX Express Extra Small</t>
  </si>
  <si>
    <t>OYX Express Premium Big</t>
  </si>
  <si>
    <t>OYX Express Premium Small</t>
  </si>
  <si>
    <t>OYX Express Small</t>
  </si>
  <si>
    <t>OYX Standard Big</t>
  </si>
  <si>
    <t>OYX Standard Budget</t>
  </si>
  <si>
    <t>OYX Standard Extra Small</t>
  </si>
  <si>
    <t>OYX Standard Premium Big</t>
  </si>
  <si>
    <t>OYX Standard Premium Small</t>
  </si>
  <si>
    <t>OYX Standard Small</t>
  </si>
  <si>
    <t>RETS Economy Big</t>
  </si>
  <si>
    <t>RETS Economy Budget</t>
  </si>
  <si>
    <t>RETS Economy Extra Small</t>
  </si>
  <si>
    <t>RETS Economy Premium Big</t>
  </si>
  <si>
    <t>RETS Economy Premium Small</t>
  </si>
  <si>
    <t>RETS Economy Small</t>
  </si>
  <si>
    <t>RETS Express Big</t>
  </si>
  <si>
    <t>RETS Express Budget</t>
  </si>
  <si>
    <t>RETS Express Extra Small</t>
  </si>
  <si>
    <t>RETS Express Premium Big</t>
  </si>
  <si>
    <t>RETS Express Premium Small</t>
  </si>
  <si>
    <t>RETS Express Small</t>
  </si>
  <si>
    <t>RETS Standard Big</t>
  </si>
  <si>
    <t>RETS Standard Budget</t>
  </si>
  <si>
    <t>RETS Standard Extra Small</t>
  </si>
  <si>
    <t>RETS Standard Premium Big</t>
  </si>
  <si>
    <t>RETS Standard Premium Small</t>
  </si>
  <si>
    <t>RETS Standard Small</t>
  </si>
  <si>
    <t>Tanais Economy Big</t>
  </si>
  <si>
    <t>Tanais Economy Budget</t>
  </si>
  <si>
    <t>Tanais Economy Extra Small</t>
  </si>
  <si>
    <t>Tanais Economy Premium Small</t>
  </si>
  <si>
    <t>Tanais Economy Small</t>
  </si>
  <si>
    <t>Tanais Express Budget</t>
  </si>
  <si>
    <t>Tanais Express Extra Small</t>
  </si>
  <si>
    <t>Tanais Express Premium Small</t>
  </si>
  <si>
    <t>Tanais Express Small</t>
  </si>
  <si>
    <t>Tanais Standard Big</t>
  </si>
  <si>
    <t>Tanais Standard Budget</t>
  </si>
  <si>
    <t>Tanais Standard Extra Small</t>
  </si>
  <si>
    <t>Tanais Standard Premium Small</t>
  </si>
  <si>
    <t>Tanais Standard Small</t>
  </si>
  <si>
    <t>TFS Economy Big</t>
  </si>
  <si>
    <t>TFS Economy Extra Small</t>
  </si>
  <si>
    <t>TFS Economy Premium Big</t>
  </si>
  <si>
    <t>TFS Economy Small</t>
  </si>
  <si>
    <t>TFS Express Big</t>
  </si>
  <si>
    <t>TFS Express Extra Small</t>
  </si>
  <si>
    <t>TFS Express Premium Big</t>
  </si>
  <si>
    <t>TFS Express Premium Small</t>
  </si>
  <si>
    <t>TFS Express Small</t>
  </si>
  <si>
    <t>TFS Standard Big</t>
  </si>
  <si>
    <t>TFS Standard Extra Small</t>
  </si>
  <si>
    <t>TFS Standard Premium Big</t>
  </si>
  <si>
    <t>TFS Standard Small</t>
  </si>
  <si>
    <t>TFS Standard Premium Small</t>
  </si>
  <si>
    <t>UNI Economy Big</t>
  </si>
  <si>
    <t>UNI Economy Budget</t>
  </si>
  <si>
    <t>UNI Economy Extra Small</t>
  </si>
  <si>
    <t>UNI Economy Premium Big</t>
  </si>
  <si>
    <t>UNI Economy Premium Small</t>
  </si>
  <si>
    <t>UNI Economy Small</t>
  </si>
  <si>
    <t>UNI Express Big</t>
  </si>
  <si>
    <t>UNI Express Budget</t>
  </si>
  <si>
    <t>UNI Express Extra Small</t>
  </si>
  <si>
    <t>UNI Express Premium Big</t>
  </si>
  <si>
    <t>UNI Express Premium Small</t>
  </si>
  <si>
    <t>UNI Express Small</t>
  </si>
  <si>
    <t>UNI Standard Big</t>
  </si>
  <si>
    <t>UNI Standard Budget</t>
  </si>
  <si>
    <t>UNI Standard Extra Small</t>
  </si>
  <si>
    <t>UNI Standard Premium Big</t>
  </si>
  <si>
    <t>UNI Standard Premium Small</t>
  </si>
  <si>
    <t>UNI Standard Small</t>
  </si>
  <si>
    <t>Ural Economy Extra Small</t>
  </si>
  <si>
    <t>Ural Economy Premium Big</t>
  </si>
  <si>
    <t>Ural Economy Premium Small</t>
  </si>
  <si>
    <t>Ural Economy Small</t>
  </si>
  <si>
    <t>Ural Express Big</t>
  </si>
  <si>
    <t>Ural Express Budget</t>
  </si>
  <si>
    <t>Ural Express Extra Small</t>
  </si>
  <si>
    <t>Ural Express Premium Big</t>
  </si>
  <si>
    <t>Ural Express Premium Small</t>
  </si>
  <si>
    <t>Ural Express Small</t>
  </si>
  <si>
    <t>Ural Standard Big</t>
  </si>
  <si>
    <t>Ural Standard Budget</t>
  </si>
  <si>
    <t>Ural Standard Extra Small</t>
  </si>
  <si>
    <t>Ural Standard Premium Big</t>
  </si>
  <si>
    <t>Ural Standard Premium Small</t>
  </si>
  <si>
    <t>Ural Standard Small</t>
  </si>
  <si>
    <t>Xingyuan Economy Big</t>
  </si>
  <si>
    <t>Xingyuan Economy Budget</t>
  </si>
  <si>
    <t>Xingyuan Economy Extra Small</t>
  </si>
  <si>
    <t>Xingyuan Economy Premium Big</t>
  </si>
  <si>
    <t>Xingyuan Economy Premium Small</t>
  </si>
  <si>
    <t>Xingyuan Economy Small</t>
  </si>
  <si>
    <t>Xingyuan Express Big</t>
  </si>
  <si>
    <t>Xingyuan Express Budget</t>
  </si>
  <si>
    <t>Xingyuan Express Extra Small</t>
  </si>
  <si>
    <t>Xingyuan Express Premium Big</t>
  </si>
  <si>
    <t>Xingyuan Express Premium Small</t>
  </si>
  <si>
    <t>Xingyuan Express Small</t>
  </si>
  <si>
    <t>Xingyuan Standard Big</t>
  </si>
  <si>
    <t>Xingyuan Standard Budget</t>
  </si>
  <si>
    <t>Xingyuan Standard Extra Small</t>
  </si>
  <si>
    <t>Xingyuan Standard Premium Big</t>
  </si>
  <si>
    <t>Xingyuan Standard Premium Small</t>
  </si>
  <si>
    <t>Xingyuan Standard Small</t>
  </si>
  <si>
    <t>ZTO Economy Budget</t>
  </si>
  <si>
    <t>ZTO Economy Premium Big</t>
  </si>
  <si>
    <t>ZTO Economy Premium Small</t>
  </si>
  <si>
    <t>ZTO Economy Small</t>
  </si>
  <si>
    <t>ZTO Express Big</t>
  </si>
  <si>
    <t>ZTO Express Budget</t>
  </si>
  <si>
    <t>ZTO Express Premium Big</t>
  </si>
  <si>
    <t>ZTO Express Premium Small</t>
  </si>
  <si>
    <t>ZTO Express Small</t>
  </si>
  <si>
    <t>ZTO Economy Extra Small</t>
  </si>
  <si>
    <t>ZTO Express Extra Small</t>
  </si>
  <si>
    <t>ZTO Standard Extra Small</t>
  </si>
  <si>
    <t>ZTO Standard Big</t>
  </si>
  <si>
    <t>ZTO Standard Budget</t>
  </si>
  <si>
    <t>ZTO Standard Premium Big</t>
  </si>
  <si>
    <t>ZTO Standard Premium Small</t>
  </si>
  <si>
    <t>ZTO Standard Small</t>
  </si>
  <si>
    <t>正向物流</t>
  </si>
  <si>
    <t>逆向物流</t>
  </si>
  <si>
    <t>评分组</t>
  </si>
  <si>
    <t>服务等级</t>
  </si>
  <si>
    <t>第三方物流</t>
  </si>
  <si>
    <t>配送方式</t>
  </si>
  <si>
    <t>Ozon评级</t>
  </si>
  <si>
    <t>时效限制（从PUDO揽收点到Ozon分拣中心），天</t>
  </si>
  <si>
    <t>费率（PUDO揽收点揽收/快递员上门揽收）</t>
  </si>
  <si>
    <t>电池</t>
  </si>
  <si>
    <t>液体</t>
  </si>
  <si>
    <t>尺寸限制，最大（厘米）</t>
  </si>
  <si>
    <t>货件重量限制 / 最小（克）</t>
  </si>
  <si>
    <t>货件重量限制 / 最大（克）</t>
  </si>
  <si>
    <t>货值限制/最低-最高（卢布）</t>
  </si>
  <si>
    <t>货值限制/最低-最高（人民币）</t>
  </si>
  <si>
    <t>货值限制/最低-最高（美元）</t>
  </si>
  <si>
    <t>货值限制/最低-最高（欧元）</t>
  </si>
  <si>
    <t>计费类型</t>
  </si>
  <si>
    <t>体积重量计算方式</t>
  </si>
  <si>
    <t>丢失赔偿上限，卢布</t>
  </si>
  <si>
    <t>在揽收点未被取走的已取消货件</t>
  </si>
  <si>
    <t>进口海关申报开始前取消的货件</t>
  </si>
  <si>
    <t>进口海关申报开始后取消的货件</t>
  </si>
  <si>
    <t>Extra Small</t>
  </si>
  <si>
    <t>Express</t>
  </si>
  <si>
    <t>5-14</t>
  </si>
  <si>
    <t>¥3.12 + ¥0.0468/1 g</t>
  </si>
  <si>
    <t>禁止</t>
  </si>
  <si>
    <t>边长总和 ≤ 90 cm, 长边 ≤ 60 cm</t>
  </si>
  <si>
    <t>1 - 1500</t>
  </si>
  <si>
    <t>0.01 - 135</t>
  </si>
  <si>
    <t>0.01 - 20</t>
  </si>
  <si>
    <t>实际重量</t>
  </si>
  <si>
    <t>-</t>
  </si>
  <si>
    <t>无附加费退回</t>
  </si>
  <si>
    <t>无附加费销毁</t>
  </si>
  <si>
    <t>ATC Express Extra Small</t>
  </si>
  <si>
    <t>¥3 + ¥0,045/1g</t>
  </si>
  <si>
    <t>¥3.12 + ¥.0.0468/1 g</t>
  </si>
  <si>
    <t>￥3.12 + ￥0.0468/1 g</t>
  </si>
  <si>
    <t>允许</t>
  </si>
  <si>
    <t>переход</t>
  </si>
  <si>
    <t>h-2</t>
  </si>
  <si>
    <t>Standard</t>
  </si>
  <si>
    <t>7-19</t>
  </si>
  <si>
    <t>¥2.92 + ¥0.0364/1 g</t>
  </si>
  <si>
    <t>¥3.12 + ¥0.0364/1 g</t>
  </si>
  <si>
    <t>￥3.12 + ￥0.0364/1 g</t>
  </si>
  <si>
    <t>¥2,6 + ¥0,035/1g</t>
  </si>
  <si>
    <t>¥3.1+ ¥0.0364/1 g</t>
  </si>
  <si>
    <t>Economy</t>
  </si>
  <si>
    <t>17-29</t>
  </si>
  <si>
    <t>¥3 + ¥0.026/1 g</t>
  </si>
  <si>
    <t>¥3.12 + ¥0.026/1 g</t>
  </si>
  <si>
    <t>￥3.12 + ￥0.026/1 g</t>
  </si>
  <si>
    <t>¥2,6 + ¥0,024/1g</t>
  </si>
  <si>
    <t>¥3.1 + ¥0.0259/1 g</t>
  </si>
  <si>
    <t>Budget</t>
  </si>
  <si>
    <t>¥23.92 + ¥0.03432/1 g</t>
  </si>
  <si>
    <t>边长总和 ≤ 150 cm, 长边 ≤ 60 cm</t>
  </si>
  <si>
    <t>￥23.92 + ￥0.03432/1 g</t>
  </si>
  <si>
    <t>¥21,85 + ¥0,033/1g</t>
  </si>
  <si>
    <t>¥21,85 + ¥0,025/1g</t>
  </si>
  <si>
    <t>¥23.92 + ¥0.026/1 g</t>
  </si>
  <si>
    <t>¥23 + ¥0,025/1g</t>
  </si>
  <si>
    <t>￥23.92 + ￥0.026/1 g</t>
  </si>
  <si>
    <t>¥23.9 + ¥0.0259/1 g</t>
  </si>
  <si>
    <t>¥23.92 + ¥0.01768/1 g</t>
  </si>
  <si>
    <t>￥23.92 + ￥0.01768/1 g</t>
  </si>
  <si>
    <t>¥22,4 + ¥0,017/1g</t>
  </si>
  <si>
    <t>¥23 + ¥0,017/1g</t>
  </si>
  <si>
    <t>¥23.9 + ¥0.0176/1 g</t>
  </si>
  <si>
    <t>Small</t>
  </si>
  <si>
    <t>¥16.64 + ¥0.0468/1 g</t>
  </si>
  <si>
    <t>1501 - 7000</t>
  </si>
  <si>
    <t>135. 01 - 635</t>
  </si>
  <si>
    <t>20.01 - 90</t>
  </si>
  <si>
    <t>20.01 - 80</t>
  </si>
  <si>
    <t>从中国运往俄罗斯的运费费率 × 1,5</t>
  </si>
  <si>
    <t>货件价值低于 5000 卢布时，直接处置（无需额外付费）；货件价值高于 5000 卢布时，按中国至俄罗斯运费 × 1.5收费</t>
  </si>
  <si>
    <t>ATC Express Small</t>
  </si>
  <si>
    <t>¥16 + ¥0,045/1g</t>
  </si>
  <si>
    <t>¥16 + ¥0,04275/1g</t>
  </si>
  <si>
    <t>￥16.64 + ￥0.0468/1 g</t>
  </si>
  <si>
    <t>¥15,2 + ¥0,034/1g</t>
  </si>
  <si>
    <t>¥16.64 + ¥0.0364/1 g</t>
  </si>
  <si>
    <t>￥16.64 + ￥0.0364/1 g</t>
  </si>
  <si>
    <t>¥16 + ¥0,033/1g</t>
  </si>
  <si>
    <t>¥16.6 + ¥0.0364/1 g</t>
  </si>
  <si>
    <t>12-24</t>
  </si>
  <si>
    <t>¥15,2 + ¥0,02375/1g</t>
  </si>
  <si>
    <t>¥16.64 + ¥0.026/1 g</t>
  </si>
  <si>
    <t>￥16.64 + ￥0.026/1 g</t>
  </si>
  <si>
    <t>¥16.6 + ¥0.0259/1 g</t>
  </si>
  <si>
    <t>¥16 + ¥0,0238/1g</t>
  </si>
  <si>
    <t>Big</t>
  </si>
  <si>
    <t>¥37.44 + ¥0.03432/1 g</t>
  </si>
  <si>
    <t>边长总和 ≤ 310 cm, 长边 ≤ 150 cm</t>
  </si>
  <si>
    <t>最大实际重量与体积重量</t>
  </si>
  <si>
    <t>长 × 宽 × 高 (cm) ÷ 12 000</t>
  </si>
  <si>
    <t>¥37.44 + ¥0.026/1 g</t>
  </si>
  <si>
    <t>¥36 + ¥0,025/1g</t>
  </si>
  <si>
    <t>￥37.44 + ￥0.026/1 g</t>
  </si>
  <si>
    <t>¥37.4 + ¥0.0259/1 g</t>
  </si>
  <si>
    <t>￥37.44 + ￥0.01768/1 g</t>
  </si>
  <si>
    <t>¥37.4 + ¥0.0176/1 g</t>
  </si>
  <si>
    <t>¥36 + ¥0,017/1g</t>
  </si>
  <si>
    <t>¥37.44 + ¥0.01768/1 g</t>
  </si>
  <si>
    <t>Premium Small</t>
  </si>
  <si>
    <t>¥22.88 + ¥0.0468/1 g</t>
  </si>
  <si>
    <t>边长总和 ≤ 250 cm, 长边 ≤ 150 cm,</t>
  </si>
  <si>
    <t>7001 - 250 000</t>
  </si>
  <si>
    <t>635.01 - 22 525</t>
  </si>
  <si>
    <t>90.01 - 3 165</t>
  </si>
  <si>
    <t>80.01 - 2 735</t>
  </si>
  <si>
    <t>ATC Express Premium Small</t>
  </si>
  <si>
    <t>¥22 + ¥0,045/1g</t>
  </si>
  <si>
    <t>¥22 + ¥0,04275/1g</t>
  </si>
  <si>
    <t>￥22.88 + ￥0.0468/1 g</t>
  </si>
  <si>
    <t>¥22.88 + ¥0.0364/1 g</t>
  </si>
  <si>
    <t>¥21 + ¥0,034/1g</t>
  </si>
  <si>
    <t>￥22.88 + ￥0.0364/1 g</t>
  </si>
  <si>
    <t>¥22.88 + ¥0.026/1 g</t>
  </si>
  <si>
    <t>¥21 + ¥0,02375/1g</t>
  </si>
  <si>
    <t>￥22.88 + ￥0.026/1 g</t>
  </si>
  <si>
    <t>¥21,5 + ¥0,024/1g</t>
  </si>
  <si>
    <t>Premium Big</t>
  </si>
  <si>
    <t>¥64.48 + ¥0.03432/1 g</t>
  </si>
  <si>
    <t>¥64.48 + ¥0.02912/1 g</t>
  </si>
  <si>
    <t>￥64.48 + ￥0.02912/1 g</t>
  </si>
  <si>
    <t>¥62 + ¥0,027/1g</t>
  </si>
  <si>
    <t>¥64.48 + ¥0.02392/1 g</t>
  </si>
  <si>
    <t>￥64.48 + ￥0.02392/1 g</t>
  </si>
  <si>
    <t>¥62 + ¥0,022/1g</t>
  </si>
  <si>
    <t>Лого</t>
  </si>
  <si>
    <t>Метод</t>
  </si>
  <si>
    <t>Рейтинг Ozon</t>
  </si>
  <si>
    <t>Сроки доставки
дроп-офф
до Москвы, дней</t>
  </si>
  <si>
    <t>ПВЗ</t>
  </si>
  <si>
    <t>Курьер</t>
  </si>
  <si>
    <t>Батарейки</t>
  </si>
  <si>
    <t>Fix</t>
  </si>
  <si>
    <t>Var</t>
  </si>
  <si>
    <t>Валюта</t>
  </si>
  <si>
    <t>Мин. Срок</t>
  </si>
  <si>
    <t>Макс. срок</t>
  </si>
  <si>
    <t>RETS</t>
  </si>
  <si>
    <t>CNY</t>
  </si>
  <si>
    <t>Запрещено</t>
  </si>
  <si>
    <t>UNI</t>
  </si>
  <si>
    <t>USD</t>
  </si>
  <si>
    <t>Разрешено</t>
  </si>
  <si>
    <t xml:space="preserve">ABT </t>
  </si>
  <si>
    <t xml:space="preserve">OYX </t>
  </si>
  <si>
    <t>Xingyuan</t>
  </si>
  <si>
    <t>CEL</t>
  </si>
  <si>
    <t>ZTO</t>
  </si>
  <si>
    <t>Tanais</t>
  </si>
  <si>
    <t>IML</t>
  </si>
  <si>
    <t>Ural</t>
  </si>
  <si>
    <t>GUOO</t>
  </si>
  <si>
    <t>TFS</t>
  </si>
  <si>
    <t>ATC</t>
  </si>
  <si>
    <t>Cainiao</t>
  </si>
  <si>
    <t>Leader</t>
  </si>
  <si>
    <t>GBS</t>
  </si>
  <si>
    <t>ETS</t>
  </si>
  <si>
    <t>7D</t>
  </si>
  <si>
    <t>Показатель</t>
  </si>
  <si>
    <t>Данные для заполнения 3PL провайдером</t>
  </si>
  <si>
    <t>Тариф: Регистрация отправлений</t>
  </si>
  <si>
    <t>Тариф: Стоимость услуг доставки за 1 кг</t>
  </si>
  <si>
    <t>Срок доставки от Drop-off точки 3PL до СЦ Ozon (максимальный срок)*</t>
  </si>
  <si>
    <t>Количество Drop-off точек в Guangdong Sheng</t>
  </si>
  <si>
    <t>Количество Drop-off точек в Zhejiang Sheng</t>
  </si>
  <si>
    <t>Количество Drop-off точек в Fujian Sheng</t>
  </si>
  <si>
    <t>Количество Drop-off точек в Other provinces</t>
  </si>
  <si>
    <t>Наличие бесплатного PickUp в Guangdong Sheng (от требуемого количества отправлений)</t>
  </si>
  <si>
    <t>Yes</t>
  </si>
  <si>
    <t>No</t>
  </si>
  <si>
    <t>Наличие бесплатного PickUp в Zhejiang Sheng  (от требуемого количества отправлений)</t>
  </si>
  <si>
    <t>Наличие бесплатного PickUp в Fujian Sheng  (от требуемого количества отправлений)</t>
  </si>
  <si>
    <t>Наличие бесплатного PickUp в Full China  (от требуемого количества отправлений)</t>
  </si>
  <si>
    <t>Количество отправлений для бесплатной услуги Pick-Up</t>
  </si>
  <si>
    <t>Дополнительное инфо от 3PL провайдера</t>
  </si>
  <si>
    <t>Валюта тарификации</t>
  </si>
  <si>
    <t>Разрешение на перевозку товаров с батарейками</t>
  </si>
  <si>
    <t>Общая пропускная способность, отправл./день</t>
  </si>
  <si>
    <t>Таможенный брокер (в РФ)</t>
  </si>
  <si>
    <t>gbs</t>
  </si>
  <si>
    <t>СВХ ООО "ГБС-Брокер" 
141400, Московская обл., г. Химки, аэропорт Шереметьево
Шереметьевское ш., д. 9  
ООО «СЭЛ Логистик»(ИНН 2725106960)- в регионе деятельности Уссурийской таможни 
ООО «Таможенный портал» (ИНН 2536209470)- в регионе деятельности Владивостокской таможни</t>
  </si>
  <si>
    <t>Транс Атлантик</t>
  </si>
  <si>
    <t>АО Юнитрейд</t>
  </si>
  <si>
    <t>Место нахождения Склада Временного Хранения</t>
  </si>
  <si>
    <t>MOSCOW</t>
  </si>
  <si>
    <t>Москва</t>
  </si>
  <si>
    <t>东莞、黑河</t>
  </si>
  <si>
    <t>Суйфэньхэ</t>
  </si>
  <si>
    <t>Москва / Уссурийск / Владивосток</t>
  </si>
  <si>
    <t>Благовещенск</t>
  </si>
  <si>
    <t>Уссурийск, Новосибирск, Шереметьево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</si>
</sst>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Arial"/>
      <charset val="134"/>
      <scheme val="minor"/>
    </font>
    <font>
      <sz val="8"/>
      <color theme="1"/>
      <name val="Arial"/>
      <charset val="204"/>
    </font>
    <font>
      <sz val="8"/>
      <color theme="1"/>
      <name val="Arial"/>
      <charset val="134"/>
      <scheme val="minor"/>
    </font>
    <font>
      <b/>
      <sz val="28"/>
      <name val="GT Eesti Pro Display"/>
      <charset val="204"/>
    </font>
    <font>
      <b/>
      <sz val="12"/>
      <color theme="0"/>
      <name val="Arial"/>
      <charset val="204"/>
      <scheme val="minor"/>
    </font>
    <font>
      <sz val="8"/>
      <color theme="1"/>
      <name val="Arial"/>
      <charset val="134"/>
    </font>
    <font>
      <sz val="8"/>
      <color theme="4"/>
      <name val="Arial"/>
      <charset val="134"/>
      <scheme val="minor"/>
    </font>
    <font>
      <b/>
      <sz val="26"/>
      <color theme="1"/>
      <name val="GT Eesti Pro Display"/>
      <charset val="204"/>
    </font>
    <font>
      <b/>
      <sz val="11"/>
      <color theme="1"/>
      <name val="Arial"/>
      <charset val="134"/>
      <scheme val="minor"/>
    </font>
    <font>
      <sz val="11"/>
      <name val="Arial"/>
      <charset val="134"/>
      <scheme val="minor"/>
    </font>
    <font>
      <sz val="11"/>
      <color rgb="FFFF0000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F4B084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10" borderId="4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1" borderId="7" applyNumberFormat="0" applyAlignment="0" applyProtection="0">
      <alignment vertical="center"/>
    </xf>
    <xf numFmtId="0" fontId="21" fillId="12" borderId="8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3" fillId="13" borderId="9" applyNumberFormat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0" fillId="0" borderId="0"/>
  </cellStyleXfs>
  <cellXfs count="4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6" borderId="0" xfId="0" applyFill="1"/>
    <xf numFmtId="0" fontId="2" fillId="6" borderId="0" xfId="0" applyFont="1" applyFill="1"/>
    <xf numFmtId="0" fontId="3" fillId="6" borderId="0" xfId="49" applyFont="1" applyFill="1"/>
    <xf numFmtId="0" fontId="1" fillId="6" borderId="0" xfId="0" applyFont="1" applyFill="1" applyAlignment="1">
      <alignment horizontal="center" vertical="center"/>
    </xf>
    <xf numFmtId="0" fontId="4" fillId="7" borderId="1" xfId="0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center" vertical="center"/>
    </xf>
    <xf numFmtId="0" fontId="6" fillId="8" borderId="0" xfId="0" applyFont="1" applyFill="1"/>
    <xf numFmtId="0" fontId="1" fillId="6" borderId="0" xfId="0" applyFont="1" applyFill="1"/>
    <xf numFmtId="0" fontId="7" fillId="6" borderId="0" xfId="49" applyFont="1" applyFill="1" applyAlignment="1">
      <alignment vertical="center"/>
    </xf>
    <xf numFmtId="0" fontId="0" fillId="6" borderId="0" xfId="49" applyFill="1" applyAlignment="1">
      <alignment vertical="top" wrapText="1"/>
    </xf>
    <xf numFmtId="0" fontId="0" fillId="6" borderId="0" xfId="49" applyFill="1" applyAlignment="1">
      <alignment horizontal="center" vertical="top"/>
    </xf>
    <xf numFmtId="0" fontId="0" fillId="6" borderId="0" xfId="49" applyFill="1"/>
    <xf numFmtId="49" fontId="1" fillId="6" borderId="0" xfId="0" applyNumberFormat="1" applyFont="1" applyFill="1" applyAlignment="1">
      <alignment horizontal="center" vertical="center"/>
    </xf>
    <xf numFmtId="49" fontId="5" fillId="6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6" borderId="0" xfId="0" applyFont="1" applyFill="1" applyBorder="1" applyAlignment="1">
      <alignment horizontal="center" vertical="center"/>
    </xf>
    <xf numFmtId="3" fontId="5" fillId="6" borderId="0" xfId="0" applyNumberFormat="1" applyFont="1" applyFill="1" applyAlignment="1">
      <alignment horizontal="center" vertical="center"/>
    </xf>
    <xf numFmtId="0" fontId="0" fillId="6" borderId="2" xfId="0" applyFill="1" applyBorder="1"/>
    <xf numFmtId="0" fontId="3" fillId="6" borderId="2" xfId="49" applyFont="1" applyFill="1" applyBorder="1"/>
    <xf numFmtId="0" fontId="1" fillId="6" borderId="2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8" fillId="9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0" xfId="0" applyFont="1"/>
    <xf numFmtId="0" fontId="9" fillId="0" borderId="0" xfId="0" applyFont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Обычный 2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mruColors>
      <color rgb="00FF696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21</xdr:col>
      <xdr:colOff>1066247</xdr:colOff>
      <xdr:row>0</xdr:row>
      <xdr:rowOff>365124</xdr:rowOff>
    </xdr:from>
    <xdr:to>
      <xdr:col>21</xdr:col>
      <xdr:colOff>4402471</xdr:colOff>
      <xdr:row>2</xdr:row>
      <xdr:rowOff>20954</xdr:rowOff>
    </xdr:to>
    <xdr:pic>
      <xdr:nvPicPr>
        <xdr:cNvPr id="2" name="Рисунок 1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84515"/>
        <a:stretch>
          <a:fillRect/>
        </a:stretch>
      </xdr:blipFill>
      <xdr:spPr>
        <a:xfrm>
          <a:off x="32773620" y="213360"/>
          <a:ext cx="3336290" cy="49784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1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#REF"/>
      <sheetName val="CPI"/>
      <sheetName val="Electro"/>
      <sheetName val="Home"/>
      <sheetName val="DATA MAIN"/>
      <sheetName val="тех. лист "/>
      <sheetName val="Table1"/>
      <sheetName val="FintechPLRows"/>
      <sheetName val="DATA base"/>
      <sheetName val="Links in Расшифровка выручки по"/>
      <sheetName val="Links in Выручка (5).xlsb"/>
      <sheetName val="workings"/>
      <sheetName val="Лист1"/>
      <sheetName val="Links in Свод по ЗП (14)(AutoRe"/>
      <sheetName val="ГН"/>
      <sheetName val="ГП"/>
      <sheetName val="ИУ Fashion"/>
      <sheetName val="реестр иу wb fmcg"/>
      <sheetName val="Отдел по работе с ТП"/>
      <sheetName val="РФ"/>
      <sheetName val="Свойства"/>
      <sheetName val="Таблица1"/>
      <sheetName val="Links in Выплаты на основе акци"/>
      <sheetName val="Links in BS.240.10000 Обязатель"/>
      <sheetName val="Links in PL.140.10000 Себестоим"/>
      <sheetName val="Links in Операционные расходы.x"/>
      <sheetName val="Links in Себестоимость.xlsb"/>
      <sheetName val="Tax invoice deductable Apr25"/>
      <sheetName val="Аналитика (склады)"/>
      <sheetName val="Сотрудники"/>
      <sheetName val="Список Base и CIS TM намазать"/>
      <sheetName val="Links in 3.7.20000 ОДДС (4).xls"/>
      <sheetName val="Links in 3.7.80000 Операционные"/>
      <sheetName val="Links in PL.121.10000 Выручка ("/>
      <sheetName val="Links in 9m2024 EPS.xlsb"/>
      <sheetName val="Main Data"/>
      <sheetName val="HR"/>
      <sheetName val="MZM"/>
      <sheetName val="Omniture"/>
      <sheetName val="регионы"/>
      <sheetName val="Базовый список"/>
      <sheetName val="Список для защиты"/>
      <sheetName val="Финансирование"/>
      <sheetName val="Списание"/>
      <sheetName val="Индексация"/>
      <sheetName val="Коды"/>
      <sheetName val="Группы"/>
      <sheetName val="Сводная таблица"/>
      <sheetName val="Лист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theme/theme1.xml><?xml version="1.0" encoding="utf-8"?>
<a:theme xmlns:a="http://schemas.openxmlformats.org/drawingml/2006/main" name="Ozon">
  <a:themeElements>
    <a:clrScheme name="Другая 2">
      <a:dk1>
        <a:srgbClr val="0E1114"/>
      </a:dk1>
      <a:lt1>
        <a:srgbClr val="FFFFFF"/>
      </a:lt1>
      <a:dk2>
        <a:srgbClr val="0E1114"/>
      </a:dk2>
      <a:lt2>
        <a:srgbClr val="FFFFFF"/>
      </a:lt2>
      <a:accent1>
        <a:srgbClr val="005AFF"/>
      </a:accent1>
      <a:accent2>
        <a:srgbClr val="FA0F55"/>
      </a:accent2>
      <a:accent3>
        <a:srgbClr val="00A2FF"/>
      </a:accent3>
      <a:accent4>
        <a:srgbClr val="61E1F4"/>
      </a:accent4>
      <a:accent5>
        <a:srgbClr val="CBDEFF"/>
      </a:accent5>
      <a:accent6>
        <a:srgbClr val="96A3AE"/>
      </a:accent6>
      <a:hlink>
        <a:srgbClr val="005BFF"/>
      </a:hlink>
      <a:folHlink>
        <a:srgbClr val="3D5165"/>
      </a:folHlink>
    </a:clrScheme>
    <a:fontScheme name="Ozon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34"/>
  <sheetViews>
    <sheetView zoomScale="70" zoomScaleNormal="70" topLeftCell="A130" workbookViewId="0">
      <selection activeCell="B168" sqref="B168"/>
    </sheetView>
  </sheetViews>
  <sheetFormatPr defaultColWidth="9" defaultRowHeight="16.8" outlineLevelCol="2"/>
  <cols>
    <col min="1" max="1" width="38.5" customWidth="1"/>
    <col min="2" max="2" width="38.5" style="36" customWidth="1"/>
  </cols>
  <sheetData>
    <row r="1" spans="1:3">
      <c r="A1" s="35" t="s">
        <v>0</v>
      </c>
      <c r="B1" s="36" t="s">
        <v>1</v>
      </c>
      <c r="C1" t="s">
        <v>2</v>
      </c>
    </row>
    <row r="2" spans="1:3">
      <c r="A2" t="s">
        <v>3</v>
      </c>
      <c r="B2" s="36">
        <v>1676</v>
      </c>
      <c r="C2">
        <v>1</v>
      </c>
    </row>
    <row r="3" spans="1:3">
      <c r="A3" t="s">
        <v>4</v>
      </c>
      <c r="B3" s="36">
        <v>1838</v>
      </c>
      <c r="C3">
        <v>1</v>
      </c>
    </row>
    <row r="4" spans="1:3">
      <c r="A4" t="s">
        <v>5</v>
      </c>
      <c r="B4" s="36">
        <v>1393</v>
      </c>
      <c r="C4">
        <v>1</v>
      </c>
    </row>
    <row r="5" spans="1:3">
      <c r="A5" t="s">
        <v>6</v>
      </c>
      <c r="B5" s="36">
        <v>1840</v>
      </c>
      <c r="C5">
        <v>1</v>
      </c>
    </row>
    <row r="6" spans="1:3">
      <c r="A6" t="s">
        <v>7</v>
      </c>
      <c r="B6" s="36">
        <v>1842</v>
      </c>
      <c r="C6">
        <v>1</v>
      </c>
    </row>
    <row r="7" spans="1:3">
      <c r="A7" t="s">
        <v>8</v>
      </c>
      <c r="B7" s="36">
        <v>1836</v>
      </c>
      <c r="C7">
        <v>1</v>
      </c>
    </row>
    <row r="8" spans="1:3">
      <c r="A8" t="s">
        <v>9</v>
      </c>
      <c r="B8" s="36">
        <v>989</v>
      </c>
      <c r="C8">
        <v>1</v>
      </c>
    </row>
    <row r="9" spans="1:3">
      <c r="A9" t="s">
        <v>10</v>
      </c>
      <c r="B9" s="36">
        <v>2475</v>
      </c>
      <c r="C9">
        <v>1</v>
      </c>
    </row>
    <row r="10" spans="1:3">
      <c r="A10" t="s">
        <v>11</v>
      </c>
      <c r="B10" s="36">
        <v>2471</v>
      </c>
      <c r="C10">
        <v>1</v>
      </c>
    </row>
    <row r="11" spans="1:3">
      <c r="A11" t="s">
        <v>12</v>
      </c>
      <c r="B11" s="36">
        <v>920</v>
      </c>
      <c r="C11">
        <v>1</v>
      </c>
    </row>
    <row r="12" spans="1:3">
      <c r="A12" t="s">
        <v>13</v>
      </c>
      <c r="B12" s="36">
        <v>2479</v>
      </c>
      <c r="C12">
        <v>1</v>
      </c>
    </row>
    <row r="13" spans="1:3">
      <c r="A13" t="s">
        <v>14</v>
      </c>
      <c r="B13" s="36">
        <v>1385</v>
      </c>
      <c r="C13">
        <v>1</v>
      </c>
    </row>
    <row r="14" spans="1:3">
      <c r="A14" t="s">
        <v>15</v>
      </c>
      <c r="B14" s="36">
        <v>1371</v>
      </c>
      <c r="C14">
        <v>1</v>
      </c>
    </row>
    <row r="15" spans="1:3">
      <c r="A15" t="s">
        <v>16</v>
      </c>
      <c r="B15" s="36">
        <v>2477</v>
      </c>
      <c r="C15">
        <v>1</v>
      </c>
    </row>
    <row r="16" spans="1:3">
      <c r="A16" t="s">
        <v>17</v>
      </c>
      <c r="B16" s="36">
        <v>2473</v>
      </c>
      <c r="C16">
        <v>1</v>
      </c>
    </row>
    <row r="17" spans="1:3">
      <c r="A17" t="s">
        <v>18</v>
      </c>
      <c r="B17" s="36">
        <v>922</v>
      </c>
      <c r="C17">
        <v>1</v>
      </c>
    </row>
    <row r="18" spans="1:3">
      <c r="A18" t="s">
        <v>19</v>
      </c>
      <c r="B18" s="36">
        <v>2481</v>
      </c>
      <c r="C18">
        <v>1</v>
      </c>
    </row>
    <row r="19" spans="1:3">
      <c r="A19" t="s">
        <v>20</v>
      </c>
      <c r="B19" s="36">
        <v>2212</v>
      </c>
      <c r="C19">
        <v>1</v>
      </c>
    </row>
    <row r="20" spans="1:3">
      <c r="A20" t="s">
        <v>21</v>
      </c>
      <c r="B20" s="36">
        <v>2210</v>
      </c>
      <c r="C20">
        <v>1</v>
      </c>
    </row>
    <row r="21" spans="1:3">
      <c r="A21" t="s">
        <v>22</v>
      </c>
      <c r="B21" s="36">
        <v>1379</v>
      </c>
      <c r="C21">
        <v>1</v>
      </c>
    </row>
    <row r="22" spans="1:3">
      <c r="A22" t="s">
        <v>23</v>
      </c>
      <c r="B22" s="36">
        <v>1368</v>
      </c>
      <c r="C22">
        <v>1</v>
      </c>
    </row>
    <row r="23" spans="1:3">
      <c r="A23" t="s">
        <v>24</v>
      </c>
      <c r="B23" s="36">
        <v>921</v>
      </c>
      <c r="C23">
        <v>1</v>
      </c>
    </row>
    <row r="24" spans="1:3">
      <c r="A24" t="s">
        <v>25</v>
      </c>
      <c r="B24" s="36">
        <v>1388</v>
      </c>
      <c r="C24">
        <v>1</v>
      </c>
    </row>
    <row r="25" spans="1:3">
      <c r="A25" t="s">
        <v>26</v>
      </c>
      <c r="B25" s="36">
        <v>1382</v>
      </c>
      <c r="C25">
        <v>1</v>
      </c>
    </row>
    <row r="26" spans="1:3">
      <c r="A26" t="s">
        <v>27</v>
      </c>
      <c r="B26" s="36">
        <v>1369</v>
      </c>
      <c r="C26">
        <v>1</v>
      </c>
    </row>
    <row r="27" spans="1:3">
      <c r="A27" t="s">
        <v>28</v>
      </c>
      <c r="B27" s="36">
        <v>1280</v>
      </c>
      <c r="C27">
        <v>1</v>
      </c>
    </row>
    <row r="28" spans="1:3">
      <c r="A28" t="s">
        <v>29</v>
      </c>
      <c r="B28" s="36">
        <v>1274</v>
      </c>
      <c r="C28">
        <v>1</v>
      </c>
    </row>
    <row r="29" spans="1:3">
      <c r="A29" t="s">
        <v>30</v>
      </c>
      <c r="B29" s="36">
        <v>1272</v>
      </c>
      <c r="C29">
        <v>1</v>
      </c>
    </row>
    <row r="30" spans="1:3">
      <c r="A30" t="s">
        <v>31</v>
      </c>
      <c r="B30" s="36">
        <v>1284</v>
      </c>
      <c r="C30">
        <v>1</v>
      </c>
    </row>
    <row r="31" spans="1:3">
      <c r="A31" t="s">
        <v>32</v>
      </c>
      <c r="B31" s="36">
        <v>1282</v>
      </c>
      <c r="C31">
        <v>1</v>
      </c>
    </row>
    <row r="32" spans="1:3">
      <c r="A32" t="s">
        <v>33</v>
      </c>
      <c r="B32" s="36">
        <v>1278</v>
      </c>
      <c r="C32">
        <v>1</v>
      </c>
    </row>
    <row r="33" spans="1:3">
      <c r="A33" t="s">
        <v>34</v>
      </c>
      <c r="B33" s="36">
        <v>1279</v>
      </c>
      <c r="C33">
        <v>1</v>
      </c>
    </row>
    <row r="34" spans="1:3">
      <c r="A34" t="s">
        <v>35</v>
      </c>
      <c r="B34" s="36">
        <v>1273</v>
      </c>
      <c r="C34">
        <v>1</v>
      </c>
    </row>
    <row r="35" spans="1:3">
      <c r="A35" t="s">
        <v>36</v>
      </c>
      <c r="B35" s="36">
        <v>1271</v>
      </c>
      <c r="C35">
        <v>1</v>
      </c>
    </row>
    <row r="36" spans="1:3">
      <c r="A36" t="s">
        <v>37</v>
      </c>
      <c r="B36" s="36">
        <v>1283</v>
      </c>
      <c r="C36">
        <v>1</v>
      </c>
    </row>
    <row r="37" spans="1:3">
      <c r="A37" t="s">
        <v>38</v>
      </c>
      <c r="B37" s="36">
        <v>1281</v>
      </c>
      <c r="C37">
        <v>1</v>
      </c>
    </row>
    <row r="38" spans="1:3">
      <c r="A38" t="s">
        <v>39</v>
      </c>
      <c r="B38" s="36">
        <v>1277</v>
      </c>
      <c r="C38">
        <v>1</v>
      </c>
    </row>
    <row r="39" spans="1:3">
      <c r="A39" t="s">
        <v>40</v>
      </c>
      <c r="B39" s="36">
        <v>1093</v>
      </c>
      <c r="C39">
        <v>1</v>
      </c>
    </row>
    <row r="40" spans="1:3">
      <c r="A40" t="s">
        <v>41</v>
      </c>
      <c r="B40" s="36">
        <v>1078</v>
      </c>
      <c r="C40">
        <v>1</v>
      </c>
    </row>
    <row r="41" spans="1:3">
      <c r="A41" t="s">
        <v>42</v>
      </c>
      <c r="B41" s="36">
        <v>769</v>
      </c>
      <c r="C41">
        <v>1</v>
      </c>
    </row>
    <row r="42" spans="1:3">
      <c r="A42" t="s">
        <v>43</v>
      </c>
      <c r="B42" s="36">
        <v>1105</v>
      </c>
      <c r="C42">
        <v>1</v>
      </c>
    </row>
    <row r="43" spans="1:3">
      <c r="A43" t="s">
        <v>44</v>
      </c>
      <c r="B43" s="36">
        <v>1099</v>
      </c>
      <c r="C43">
        <v>1</v>
      </c>
    </row>
    <row r="44" spans="1:3">
      <c r="A44" t="s">
        <v>45</v>
      </c>
      <c r="B44" s="36">
        <v>1087</v>
      </c>
      <c r="C44">
        <v>1</v>
      </c>
    </row>
    <row r="45" spans="1:3">
      <c r="A45" t="s">
        <v>46</v>
      </c>
      <c r="B45" s="36">
        <v>1089</v>
      </c>
      <c r="C45">
        <v>1</v>
      </c>
    </row>
    <row r="46" spans="1:3">
      <c r="A46" t="s">
        <v>47</v>
      </c>
      <c r="B46" s="36">
        <v>1076</v>
      </c>
      <c r="C46">
        <v>1</v>
      </c>
    </row>
    <row r="47" spans="1:3">
      <c r="A47" t="s">
        <v>48</v>
      </c>
      <c r="B47" s="36">
        <v>1075</v>
      </c>
      <c r="C47">
        <v>1</v>
      </c>
    </row>
    <row r="48" spans="1:3">
      <c r="A48" t="s">
        <v>49</v>
      </c>
      <c r="B48" s="36">
        <v>1101</v>
      </c>
      <c r="C48">
        <v>1</v>
      </c>
    </row>
    <row r="49" spans="1:3">
      <c r="A49" t="s">
        <v>50</v>
      </c>
      <c r="B49" s="36">
        <v>1095</v>
      </c>
      <c r="C49">
        <v>1</v>
      </c>
    </row>
    <row r="50" spans="1:3">
      <c r="A50" t="s">
        <v>51</v>
      </c>
      <c r="B50" s="36">
        <v>1083</v>
      </c>
      <c r="C50">
        <v>1</v>
      </c>
    </row>
    <row r="51" spans="1:3">
      <c r="A51" t="s">
        <v>52</v>
      </c>
      <c r="B51" s="36">
        <v>1091</v>
      </c>
      <c r="C51">
        <v>1</v>
      </c>
    </row>
    <row r="52" spans="1:3">
      <c r="A52" t="s">
        <v>53</v>
      </c>
      <c r="B52" s="36">
        <v>1077</v>
      </c>
      <c r="C52">
        <v>1</v>
      </c>
    </row>
    <row r="53" spans="1:3">
      <c r="A53" t="s">
        <v>54</v>
      </c>
      <c r="B53" s="36">
        <v>768</v>
      </c>
      <c r="C53">
        <v>1</v>
      </c>
    </row>
    <row r="54" spans="1:3">
      <c r="A54" t="s">
        <v>55</v>
      </c>
      <c r="B54" s="36">
        <v>1103</v>
      </c>
      <c r="C54">
        <v>1</v>
      </c>
    </row>
    <row r="55" spans="1:3">
      <c r="A55" t="s">
        <v>56</v>
      </c>
      <c r="B55" s="36">
        <v>1097</v>
      </c>
      <c r="C55">
        <v>1</v>
      </c>
    </row>
    <row r="56" spans="1:3">
      <c r="A56" t="s">
        <v>57</v>
      </c>
      <c r="B56" s="36">
        <v>1307</v>
      </c>
      <c r="C56">
        <v>1</v>
      </c>
    </row>
    <row r="57" spans="1:3">
      <c r="A57" t="s">
        <v>58</v>
      </c>
      <c r="B57" s="36">
        <v>1460</v>
      </c>
      <c r="C57">
        <v>1</v>
      </c>
    </row>
    <row r="58" spans="1:3">
      <c r="A58" t="s">
        <v>59</v>
      </c>
      <c r="B58" s="36">
        <v>1472</v>
      </c>
      <c r="C58">
        <v>1</v>
      </c>
    </row>
    <row r="59" spans="1:3">
      <c r="A59" t="s">
        <v>60</v>
      </c>
      <c r="B59" s="36">
        <v>1466</v>
      </c>
      <c r="C59">
        <v>1</v>
      </c>
    </row>
    <row r="60" spans="1:3">
      <c r="A60" t="s">
        <v>61</v>
      </c>
      <c r="B60" s="36">
        <v>1456</v>
      </c>
      <c r="C60">
        <v>1</v>
      </c>
    </row>
    <row r="61" spans="1:3">
      <c r="A61" t="s">
        <v>62</v>
      </c>
      <c r="B61" s="36">
        <v>1468</v>
      </c>
      <c r="C61">
        <v>1</v>
      </c>
    </row>
    <row r="62" spans="1:3">
      <c r="A62" t="s">
        <v>63</v>
      </c>
      <c r="B62" s="36">
        <v>1462</v>
      </c>
      <c r="C62">
        <v>1</v>
      </c>
    </row>
    <row r="63" spans="1:3">
      <c r="A63" t="s">
        <v>64</v>
      </c>
      <c r="B63" s="36">
        <v>1458</v>
      </c>
      <c r="C63">
        <v>1</v>
      </c>
    </row>
    <row r="64" spans="1:3">
      <c r="A64" t="s">
        <v>65</v>
      </c>
      <c r="B64" s="36">
        <v>1470</v>
      </c>
      <c r="C64">
        <v>1</v>
      </c>
    </row>
    <row r="65" spans="1:3">
      <c r="A65" t="s">
        <v>66</v>
      </c>
      <c r="B65" s="36">
        <v>1464</v>
      </c>
      <c r="C65">
        <v>1</v>
      </c>
    </row>
    <row r="66" spans="1:3">
      <c r="A66" t="s">
        <v>67</v>
      </c>
      <c r="B66" s="36">
        <v>1172</v>
      </c>
      <c r="C66">
        <v>1</v>
      </c>
    </row>
    <row r="67" spans="1:3">
      <c r="A67" t="s">
        <v>68</v>
      </c>
      <c r="B67" s="36">
        <v>1165</v>
      </c>
      <c r="C67">
        <v>1</v>
      </c>
    </row>
    <row r="68" spans="1:3">
      <c r="A68" t="s">
        <v>69</v>
      </c>
      <c r="B68" s="36">
        <v>887</v>
      </c>
      <c r="C68">
        <v>1</v>
      </c>
    </row>
    <row r="69" spans="1:3">
      <c r="A69" t="s">
        <v>70</v>
      </c>
      <c r="B69" s="36">
        <v>1178</v>
      </c>
      <c r="C69">
        <v>1</v>
      </c>
    </row>
    <row r="70" spans="1:3">
      <c r="A70" t="s">
        <v>71</v>
      </c>
      <c r="B70" s="36">
        <v>1176</v>
      </c>
      <c r="C70">
        <v>1</v>
      </c>
    </row>
    <row r="71" spans="1:3">
      <c r="A71" t="s">
        <v>72</v>
      </c>
      <c r="B71" s="36">
        <v>1170</v>
      </c>
      <c r="C71">
        <v>1</v>
      </c>
    </row>
    <row r="72" spans="1:3">
      <c r="A72" t="s">
        <v>73</v>
      </c>
      <c r="B72" s="36">
        <v>885</v>
      </c>
      <c r="C72">
        <v>1</v>
      </c>
    </row>
    <row r="73" spans="1:3">
      <c r="A73" t="s">
        <v>74</v>
      </c>
      <c r="B73" s="36">
        <v>1174</v>
      </c>
      <c r="C73">
        <v>1</v>
      </c>
    </row>
    <row r="74" spans="1:3">
      <c r="A74" t="s">
        <v>75</v>
      </c>
      <c r="B74" s="36">
        <v>1166</v>
      </c>
      <c r="C74">
        <v>1</v>
      </c>
    </row>
    <row r="75" spans="1:3">
      <c r="A75" t="s">
        <v>76</v>
      </c>
      <c r="B75" s="36">
        <v>1700</v>
      </c>
      <c r="C75">
        <v>1</v>
      </c>
    </row>
    <row r="76" spans="1:3">
      <c r="A76" t="s">
        <v>77</v>
      </c>
      <c r="B76" s="36">
        <v>1699</v>
      </c>
      <c r="C76">
        <v>1</v>
      </c>
    </row>
    <row r="77" spans="1:3">
      <c r="A77" t="s">
        <v>78</v>
      </c>
      <c r="B77" s="36">
        <v>886</v>
      </c>
      <c r="C77">
        <v>1</v>
      </c>
    </row>
    <row r="78" spans="1:3">
      <c r="A78" t="s">
        <v>79</v>
      </c>
      <c r="B78" s="36">
        <v>1704</v>
      </c>
      <c r="C78">
        <v>1</v>
      </c>
    </row>
    <row r="79" spans="1:3">
      <c r="A79" t="s">
        <v>80</v>
      </c>
      <c r="B79" s="36">
        <v>1702</v>
      </c>
      <c r="C79">
        <v>1</v>
      </c>
    </row>
    <row r="80" spans="1:3">
      <c r="A80" t="s">
        <v>81</v>
      </c>
      <c r="B80" s="36">
        <v>1168</v>
      </c>
      <c r="C80">
        <v>1</v>
      </c>
    </row>
    <row r="81" spans="1:3">
      <c r="A81" t="s">
        <v>82</v>
      </c>
      <c r="B81" s="36">
        <v>1214</v>
      </c>
      <c r="C81">
        <v>1</v>
      </c>
    </row>
    <row r="82" spans="1:3">
      <c r="A82" t="s">
        <v>83</v>
      </c>
      <c r="B82" s="36">
        <v>1205</v>
      </c>
      <c r="C82">
        <v>1</v>
      </c>
    </row>
    <row r="83" spans="1:3">
      <c r="A83" t="s">
        <v>84</v>
      </c>
      <c r="B83" s="36">
        <v>1267</v>
      </c>
      <c r="C83">
        <v>1</v>
      </c>
    </row>
    <row r="84" spans="1:3">
      <c r="A84" t="s">
        <v>85</v>
      </c>
      <c r="B84" s="36">
        <v>1224</v>
      </c>
      <c r="C84">
        <v>1</v>
      </c>
    </row>
    <row r="85" spans="1:3">
      <c r="A85" t="s">
        <v>86</v>
      </c>
      <c r="B85" s="36">
        <v>1210</v>
      </c>
      <c r="C85">
        <v>1</v>
      </c>
    </row>
    <row r="86" spans="1:3">
      <c r="A86" t="s">
        <v>87</v>
      </c>
      <c r="B86" s="36">
        <v>1212</v>
      </c>
      <c r="C86">
        <v>1</v>
      </c>
    </row>
    <row r="87" spans="1:3">
      <c r="A87" s="39" t="s">
        <v>88</v>
      </c>
      <c r="B87" s="36">
        <v>1203</v>
      </c>
      <c r="C87">
        <v>1</v>
      </c>
    </row>
    <row r="88" spans="1:3">
      <c r="A88" s="39" t="s">
        <v>89</v>
      </c>
      <c r="B88" s="36">
        <v>1201</v>
      </c>
      <c r="C88">
        <v>1</v>
      </c>
    </row>
    <row r="89" spans="1:3">
      <c r="A89" t="s">
        <v>90</v>
      </c>
      <c r="B89" s="36">
        <v>1220</v>
      </c>
      <c r="C89">
        <v>1</v>
      </c>
    </row>
    <row r="90" spans="1:3">
      <c r="A90" t="s">
        <v>91</v>
      </c>
      <c r="B90" s="36">
        <v>1216</v>
      </c>
      <c r="C90">
        <v>1</v>
      </c>
    </row>
    <row r="91" spans="1:3">
      <c r="A91" t="s">
        <v>92</v>
      </c>
      <c r="B91" s="36">
        <v>1206</v>
      </c>
      <c r="C91">
        <v>1</v>
      </c>
    </row>
    <row r="92" spans="1:3">
      <c r="A92" t="s">
        <v>93</v>
      </c>
      <c r="B92" s="36">
        <v>1579</v>
      </c>
      <c r="C92">
        <v>1</v>
      </c>
    </row>
    <row r="93" spans="1:3">
      <c r="A93" t="s">
        <v>94</v>
      </c>
      <c r="B93" s="36">
        <v>1204</v>
      </c>
      <c r="C93">
        <v>1</v>
      </c>
    </row>
    <row r="94" spans="1:3">
      <c r="A94" t="s">
        <v>95</v>
      </c>
      <c r="B94" s="36">
        <v>1200</v>
      </c>
      <c r="C94">
        <v>1</v>
      </c>
    </row>
    <row r="95" spans="1:3">
      <c r="A95" t="s">
        <v>96</v>
      </c>
      <c r="B95" s="36">
        <v>1222</v>
      </c>
      <c r="C95">
        <v>1</v>
      </c>
    </row>
    <row r="96" spans="1:3">
      <c r="A96" t="s">
        <v>97</v>
      </c>
      <c r="B96" s="36">
        <v>1218</v>
      </c>
      <c r="C96">
        <v>1</v>
      </c>
    </row>
    <row r="97" spans="1:3">
      <c r="A97" t="s">
        <v>98</v>
      </c>
      <c r="B97" s="36">
        <v>1208</v>
      </c>
      <c r="C97">
        <v>1</v>
      </c>
    </row>
    <row r="98" spans="1:3">
      <c r="A98" t="s">
        <v>99</v>
      </c>
      <c r="B98" s="36">
        <v>1684</v>
      </c>
      <c r="C98">
        <v>1</v>
      </c>
    </row>
    <row r="99" spans="1:3">
      <c r="A99" t="s">
        <v>100</v>
      </c>
      <c r="B99" s="36">
        <v>1786</v>
      </c>
      <c r="C99">
        <v>1</v>
      </c>
    </row>
    <row r="100" spans="1:3">
      <c r="A100" t="s">
        <v>101</v>
      </c>
      <c r="B100" s="36">
        <v>1683</v>
      </c>
      <c r="C100">
        <v>1</v>
      </c>
    </row>
    <row r="101" spans="1:3">
      <c r="A101" t="s">
        <v>102</v>
      </c>
      <c r="B101" s="36">
        <v>1681</v>
      </c>
      <c r="C101">
        <v>1</v>
      </c>
    </row>
    <row r="102" spans="1:3">
      <c r="A102" t="s">
        <v>103</v>
      </c>
      <c r="B102" s="36">
        <v>2487</v>
      </c>
      <c r="C102">
        <v>1</v>
      </c>
    </row>
    <row r="103" spans="1:3">
      <c r="A103" t="s">
        <v>104</v>
      </c>
      <c r="B103" s="36">
        <v>2483</v>
      </c>
      <c r="C103">
        <v>1</v>
      </c>
    </row>
    <row r="104" spans="1:3">
      <c r="A104" t="s">
        <v>105</v>
      </c>
      <c r="B104" s="36">
        <v>917</v>
      </c>
      <c r="C104">
        <v>1</v>
      </c>
    </row>
    <row r="105" spans="1:3">
      <c r="A105" t="s">
        <v>106</v>
      </c>
      <c r="B105" s="36">
        <v>2491</v>
      </c>
      <c r="C105">
        <v>1</v>
      </c>
    </row>
    <row r="106" spans="1:3">
      <c r="A106" t="s">
        <v>107</v>
      </c>
      <c r="B106" s="36">
        <v>1361</v>
      </c>
      <c r="C106">
        <v>1</v>
      </c>
    </row>
    <row r="107" spans="1:3">
      <c r="A107" t="s">
        <v>108</v>
      </c>
      <c r="B107" s="36">
        <v>1355</v>
      </c>
      <c r="C107">
        <v>1</v>
      </c>
    </row>
    <row r="108" spans="1:3">
      <c r="A108" t="s">
        <v>109</v>
      </c>
      <c r="B108" s="36">
        <v>2489</v>
      </c>
      <c r="C108">
        <v>1</v>
      </c>
    </row>
    <row r="109" spans="1:3">
      <c r="A109" t="s">
        <v>110</v>
      </c>
      <c r="B109" s="36">
        <v>2485</v>
      </c>
      <c r="C109">
        <v>1</v>
      </c>
    </row>
    <row r="110" spans="1:3">
      <c r="A110" s="37" t="s">
        <v>111</v>
      </c>
      <c r="B110" s="38">
        <v>918</v>
      </c>
      <c r="C110">
        <v>1</v>
      </c>
    </row>
    <row r="111" spans="1:3">
      <c r="A111" t="s">
        <v>112</v>
      </c>
      <c r="B111" s="36">
        <v>2493</v>
      </c>
      <c r="C111">
        <v>1</v>
      </c>
    </row>
    <row r="112" spans="1:3">
      <c r="A112" t="s">
        <v>113</v>
      </c>
      <c r="B112" s="36">
        <v>2206</v>
      </c>
      <c r="C112">
        <v>1</v>
      </c>
    </row>
    <row r="113" spans="1:3">
      <c r="A113" t="s">
        <v>114</v>
      </c>
      <c r="B113" s="36">
        <v>2208</v>
      </c>
      <c r="C113">
        <v>1</v>
      </c>
    </row>
    <row r="114" spans="1:3">
      <c r="A114" t="s">
        <v>115</v>
      </c>
      <c r="B114" s="36">
        <v>1357</v>
      </c>
      <c r="C114">
        <v>1</v>
      </c>
    </row>
    <row r="115" spans="1:3">
      <c r="A115" t="s">
        <v>116</v>
      </c>
      <c r="B115" s="36">
        <v>1352</v>
      </c>
      <c r="C115">
        <v>1</v>
      </c>
    </row>
    <row r="116" spans="1:3">
      <c r="A116" t="s">
        <v>117</v>
      </c>
      <c r="B116" s="36">
        <v>919</v>
      </c>
      <c r="C116">
        <v>1</v>
      </c>
    </row>
    <row r="117" spans="1:3">
      <c r="A117" t="s">
        <v>118</v>
      </c>
      <c r="B117" s="36">
        <v>1363</v>
      </c>
      <c r="C117">
        <v>1</v>
      </c>
    </row>
    <row r="118" spans="1:3">
      <c r="A118" t="s">
        <v>119</v>
      </c>
      <c r="B118" s="36">
        <v>1359</v>
      </c>
      <c r="C118">
        <v>1</v>
      </c>
    </row>
    <row r="119" spans="1:3">
      <c r="A119" t="s">
        <v>120</v>
      </c>
      <c r="B119" s="36">
        <v>1353</v>
      </c>
      <c r="C119">
        <v>1</v>
      </c>
    </row>
    <row r="120" spans="1:3">
      <c r="A120" t="s">
        <v>121</v>
      </c>
      <c r="B120" s="36">
        <v>1536</v>
      </c>
      <c r="C120">
        <v>1</v>
      </c>
    </row>
    <row r="121" spans="1:3">
      <c r="A121" t="s">
        <v>122</v>
      </c>
      <c r="B121" s="36">
        <v>1501</v>
      </c>
      <c r="C121">
        <v>1</v>
      </c>
    </row>
    <row r="122" spans="1:3">
      <c r="A122" t="s">
        <v>123</v>
      </c>
      <c r="B122" s="36">
        <v>953</v>
      </c>
      <c r="C122">
        <v>1</v>
      </c>
    </row>
    <row r="123" spans="1:3">
      <c r="A123" t="s">
        <v>124</v>
      </c>
      <c r="B123" s="36">
        <v>1548</v>
      </c>
      <c r="C123">
        <v>1</v>
      </c>
    </row>
    <row r="124" spans="1:3">
      <c r="A124" t="s">
        <v>125</v>
      </c>
      <c r="B124" s="36">
        <v>1542</v>
      </c>
      <c r="C124">
        <v>1</v>
      </c>
    </row>
    <row r="125" spans="1:3">
      <c r="A125" t="s">
        <v>126</v>
      </c>
      <c r="B125" s="36">
        <v>1531</v>
      </c>
      <c r="C125">
        <v>1</v>
      </c>
    </row>
    <row r="126" spans="1:3">
      <c r="A126" t="s">
        <v>127</v>
      </c>
      <c r="B126" s="36">
        <v>1533</v>
      </c>
      <c r="C126">
        <v>1</v>
      </c>
    </row>
    <row r="127" spans="1:3">
      <c r="A127" s="39" t="s">
        <v>128</v>
      </c>
      <c r="B127" s="36">
        <v>1519</v>
      </c>
      <c r="C127">
        <v>1</v>
      </c>
    </row>
    <row r="128" spans="1:3">
      <c r="A128" t="s">
        <v>129</v>
      </c>
      <c r="B128" s="36">
        <v>951</v>
      </c>
      <c r="C128">
        <v>1</v>
      </c>
    </row>
    <row r="129" spans="1:3">
      <c r="A129" t="s">
        <v>130</v>
      </c>
      <c r="B129" s="36">
        <v>1544</v>
      </c>
      <c r="C129">
        <v>1</v>
      </c>
    </row>
    <row r="130" spans="1:3">
      <c r="A130" t="s">
        <v>131</v>
      </c>
      <c r="B130" s="36">
        <v>1538</v>
      </c>
      <c r="C130">
        <v>1</v>
      </c>
    </row>
    <row r="131" spans="1:3">
      <c r="A131" t="s">
        <v>132</v>
      </c>
      <c r="B131" s="36">
        <v>1528</v>
      </c>
      <c r="C131">
        <v>1</v>
      </c>
    </row>
    <row r="132" spans="1:3">
      <c r="A132" t="s">
        <v>133</v>
      </c>
      <c r="B132" s="36">
        <v>1530</v>
      </c>
      <c r="C132">
        <v>1</v>
      </c>
    </row>
    <row r="133" spans="1:3">
      <c r="A133" t="s">
        <v>134</v>
      </c>
      <c r="B133" s="36">
        <v>1552</v>
      </c>
      <c r="C133">
        <v>1</v>
      </c>
    </row>
    <row r="134" spans="1:3">
      <c r="A134" t="s">
        <v>135</v>
      </c>
      <c r="B134" s="36">
        <v>952</v>
      </c>
      <c r="C134">
        <v>1</v>
      </c>
    </row>
    <row r="135" spans="1:3">
      <c r="A135" t="s">
        <v>136</v>
      </c>
      <c r="B135" s="36">
        <v>1546</v>
      </c>
      <c r="C135">
        <v>1</v>
      </c>
    </row>
    <row r="136" spans="1:3">
      <c r="A136" t="s">
        <v>137</v>
      </c>
      <c r="B136" s="36">
        <v>1540</v>
      </c>
      <c r="C136">
        <v>1</v>
      </c>
    </row>
    <row r="137" spans="1:3">
      <c r="A137" t="s">
        <v>138</v>
      </c>
      <c r="B137" s="36">
        <v>1529</v>
      </c>
      <c r="C137">
        <v>1</v>
      </c>
    </row>
    <row r="138" spans="1:3">
      <c r="A138" t="s">
        <v>139</v>
      </c>
      <c r="B138" s="36">
        <v>1504</v>
      </c>
      <c r="C138">
        <v>1</v>
      </c>
    </row>
    <row r="139" spans="1:3">
      <c r="A139" t="s">
        <v>140</v>
      </c>
      <c r="B139" s="36">
        <v>1502</v>
      </c>
      <c r="C139">
        <v>1</v>
      </c>
    </row>
    <row r="140" spans="1:3">
      <c r="A140" t="s">
        <v>141</v>
      </c>
      <c r="B140" s="36">
        <v>1500</v>
      </c>
      <c r="C140">
        <v>1</v>
      </c>
    </row>
    <row r="141" spans="1:3">
      <c r="A141" t="s">
        <v>142</v>
      </c>
      <c r="B141" s="36">
        <v>1507</v>
      </c>
      <c r="C141">
        <v>1</v>
      </c>
    </row>
    <row r="142" spans="1:3">
      <c r="A142" t="s">
        <v>143</v>
      </c>
      <c r="B142" s="36">
        <v>1503</v>
      </c>
      <c r="C142">
        <v>1</v>
      </c>
    </row>
    <row r="143" spans="1:3">
      <c r="A143" t="s">
        <v>144</v>
      </c>
      <c r="B143" s="36">
        <v>2055</v>
      </c>
      <c r="C143">
        <v>1</v>
      </c>
    </row>
    <row r="144" spans="1:3">
      <c r="A144" t="s">
        <v>145</v>
      </c>
      <c r="B144" s="36">
        <v>1506</v>
      </c>
      <c r="C144">
        <v>1</v>
      </c>
    </row>
    <row r="145" spans="1:3">
      <c r="A145" t="s">
        <v>146</v>
      </c>
      <c r="B145" s="36">
        <v>2056</v>
      </c>
      <c r="C145">
        <v>1</v>
      </c>
    </row>
    <row r="146" spans="1:3">
      <c r="A146" t="s">
        <v>147</v>
      </c>
      <c r="B146" s="36">
        <v>1505</v>
      </c>
      <c r="C146">
        <v>1</v>
      </c>
    </row>
    <row r="147" spans="1:3">
      <c r="A147" t="s">
        <v>148</v>
      </c>
      <c r="B147" s="36">
        <v>1511</v>
      </c>
      <c r="C147">
        <v>1</v>
      </c>
    </row>
    <row r="148" spans="1:3">
      <c r="A148" t="s">
        <v>149</v>
      </c>
      <c r="B148" s="36">
        <v>1509</v>
      </c>
      <c r="C148">
        <v>1</v>
      </c>
    </row>
    <row r="149" spans="1:3">
      <c r="A149" t="s">
        <v>150</v>
      </c>
      <c r="B149" s="36">
        <v>1508</v>
      </c>
      <c r="C149">
        <v>1</v>
      </c>
    </row>
    <row r="150" spans="1:3">
      <c r="A150" t="s">
        <v>151</v>
      </c>
      <c r="B150" s="36">
        <v>1512</v>
      </c>
      <c r="C150">
        <v>1</v>
      </c>
    </row>
    <row r="151" spans="1:3">
      <c r="A151" t="s">
        <v>152</v>
      </c>
      <c r="B151" s="36">
        <v>1510</v>
      </c>
      <c r="C151">
        <v>1</v>
      </c>
    </row>
    <row r="152" spans="1:3">
      <c r="A152" t="s">
        <v>153</v>
      </c>
      <c r="B152" s="36">
        <v>1933</v>
      </c>
      <c r="C152">
        <v>1</v>
      </c>
    </row>
    <row r="153" spans="1:3">
      <c r="A153" s="39" t="s">
        <v>154</v>
      </c>
      <c r="B153" s="40">
        <v>1924</v>
      </c>
      <c r="C153">
        <v>1</v>
      </c>
    </row>
    <row r="154" spans="1:3">
      <c r="A154" t="s">
        <v>155</v>
      </c>
      <c r="B154" s="36">
        <v>1925</v>
      </c>
      <c r="C154">
        <v>1</v>
      </c>
    </row>
    <row r="155" spans="1:3">
      <c r="A155" t="s">
        <v>156</v>
      </c>
      <c r="B155" s="36">
        <v>1936</v>
      </c>
      <c r="C155">
        <v>1</v>
      </c>
    </row>
    <row r="156" spans="1:3">
      <c r="A156" t="s">
        <v>157</v>
      </c>
      <c r="B156" s="36">
        <v>1935</v>
      </c>
      <c r="C156">
        <v>1</v>
      </c>
    </row>
    <row r="157" spans="1:3">
      <c r="A157" s="39" t="s">
        <v>158</v>
      </c>
      <c r="B157" s="40">
        <v>1789</v>
      </c>
      <c r="C157">
        <v>1</v>
      </c>
    </row>
    <row r="158" spans="1:3">
      <c r="A158" t="s">
        <v>159</v>
      </c>
      <c r="B158" s="36">
        <v>1927</v>
      </c>
      <c r="C158">
        <v>1</v>
      </c>
    </row>
    <row r="159" spans="1:3">
      <c r="A159" t="s">
        <v>160</v>
      </c>
      <c r="B159" s="36">
        <v>1932</v>
      </c>
      <c r="C159">
        <v>1</v>
      </c>
    </row>
    <row r="160" spans="1:3">
      <c r="A160" t="s">
        <v>161</v>
      </c>
      <c r="B160" s="36">
        <v>1951</v>
      </c>
      <c r="C160">
        <v>1</v>
      </c>
    </row>
    <row r="161" spans="1:3">
      <c r="A161" t="s">
        <v>162</v>
      </c>
      <c r="B161" s="36">
        <v>1934</v>
      </c>
      <c r="C161">
        <v>1</v>
      </c>
    </row>
    <row r="162" spans="1:3">
      <c r="A162" s="39" t="s">
        <v>163</v>
      </c>
      <c r="B162" s="40">
        <v>1903</v>
      </c>
      <c r="C162">
        <v>1</v>
      </c>
    </row>
    <row r="163" spans="1:3">
      <c r="A163" t="s">
        <v>164</v>
      </c>
      <c r="B163" s="36">
        <v>1926</v>
      </c>
      <c r="C163">
        <v>1</v>
      </c>
    </row>
    <row r="164" spans="1:3">
      <c r="A164" t="s">
        <v>165</v>
      </c>
      <c r="B164" s="36">
        <v>1938</v>
      </c>
      <c r="C164">
        <v>1</v>
      </c>
    </row>
    <row r="165" spans="1:3">
      <c r="A165" t="s">
        <v>166</v>
      </c>
      <c r="B165" s="36">
        <v>1930</v>
      </c>
      <c r="C165">
        <v>1</v>
      </c>
    </row>
    <row r="166" spans="1:3">
      <c r="A166" t="s">
        <v>167</v>
      </c>
      <c r="B166" s="36">
        <v>1124</v>
      </c>
      <c r="C166">
        <v>1</v>
      </c>
    </row>
    <row r="167" spans="1:3">
      <c r="A167" t="s">
        <v>168</v>
      </c>
      <c r="B167" s="36">
        <v>1113</v>
      </c>
      <c r="C167">
        <v>1</v>
      </c>
    </row>
    <row r="168" spans="1:3">
      <c r="A168" t="s">
        <v>169</v>
      </c>
      <c r="B168" s="36">
        <v>1110</v>
      </c>
      <c r="C168">
        <v>1</v>
      </c>
    </row>
    <row r="169" spans="1:3">
      <c r="A169" t="s">
        <v>170</v>
      </c>
      <c r="B169" s="36">
        <v>1136</v>
      </c>
      <c r="C169">
        <v>1</v>
      </c>
    </row>
    <row r="170" spans="1:3">
      <c r="A170" t="s">
        <v>171</v>
      </c>
      <c r="B170" s="36">
        <v>1130</v>
      </c>
      <c r="C170">
        <v>1</v>
      </c>
    </row>
    <row r="171" spans="1:3">
      <c r="A171" t="s">
        <v>172</v>
      </c>
      <c r="B171" s="36">
        <v>1118</v>
      </c>
      <c r="C171">
        <v>1</v>
      </c>
    </row>
    <row r="172" spans="1:3">
      <c r="A172" t="s">
        <v>173</v>
      </c>
      <c r="B172" s="36">
        <v>1120</v>
      </c>
      <c r="C172">
        <v>1</v>
      </c>
    </row>
    <row r="173" spans="1:3">
      <c r="A173" t="s">
        <v>174</v>
      </c>
      <c r="B173" s="36">
        <v>1111</v>
      </c>
      <c r="C173">
        <v>1</v>
      </c>
    </row>
    <row r="174" spans="1:3">
      <c r="A174" t="s">
        <v>175</v>
      </c>
      <c r="B174" s="36">
        <v>1108</v>
      </c>
      <c r="C174">
        <v>1</v>
      </c>
    </row>
    <row r="175" spans="1:3">
      <c r="A175" t="s">
        <v>176</v>
      </c>
      <c r="B175" s="36">
        <v>1132</v>
      </c>
      <c r="C175">
        <v>1</v>
      </c>
    </row>
    <row r="176" spans="1:3">
      <c r="A176" t="s">
        <v>177</v>
      </c>
      <c r="B176" s="36">
        <v>1126</v>
      </c>
      <c r="C176">
        <v>1</v>
      </c>
    </row>
    <row r="177" spans="1:3">
      <c r="A177" t="s">
        <v>178</v>
      </c>
      <c r="B177" s="36">
        <v>1114</v>
      </c>
      <c r="C177">
        <v>1</v>
      </c>
    </row>
    <row r="178" spans="1:3">
      <c r="A178" t="s">
        <v>179</v>
      </c>
      <c r="B178" s="36">
        <v>1122</v>
      </c>
      <c r="C178">
        <v>1</v>
      </c>
    </row>
    <row r="179" spans="1:3">
      <c r="A179" t="s">
        <v>180</v>
      </c>
      <c r="B179" s="36">
        <v>1112</v>
      </c>
      <c r="C179">
        <v>1</v>
      </c>
    </row>
    <row r="180" spans="1:3">
      <c r="A180" t="s">
        <v>181</v>
      </c>
      <c r="B180" s="36">
        <v>1109</v>
      </c>
      <c r="C180">
        <v>1</v>
      </c>
    </row>
    <row r="181" spans="1:3">
      <c r="A181" t="s">
        <v>182</v>
      </c>
      <c r="B181" s="36">
        <v>1134</v>
      </c>
      <c r="C181">
        <v>1</v>
      </c>
    </row>
    <row r="182" spans="1:3">
      <c r="A182" t="s">
        <v>183</v>
      </c>
      <c r="B182" s="36">
        <v>1128</v>
      </c>
      <c r="C182">
        <v>1</v>
      </c>
    </row>
    <row r="183" spans="1:3">
      <c r="A183" t="s">
        <v>184</v>
      </c>
      <c r="B183" s="36">
        <v>1116</v>
      </c>
      <c r="C183">
        <v>1</v>
      </c>
    </row>
    <row r="184" spans="1:3">
      <c r="A184" t="s">
        <v>185</v>
      </c>
      <c r="B184" s="36">
        <v>978</v>
      </c>
      <c r="C184">
        <v>1</v>
      </c>
    </row>
    <row r="185" spans="1:3">
      <c r="A185" t="s">
        <v>186</v>
      </c>
      <c r="B185" s="36">
        <v>1858</v>
      </c>
      <c r="C185">
        <v>1</v>
      </c>
    </row>
    <row r="186" spans="1:3">
      <c r="A186" t="s">
        <v>187</v>
      </c>
      <c r="B186" s="36">
        <v>1301</v>
      </c>
      <c r="C186">
        <v>1</v>
      </c>
    </row>
    <row r="187" spans="1:3">
      <c r="A187" t="s">
        <v>188</v>
      </c>
      <c r="B187" s="36">
        <v>1291</v>
      </c>
      <c r="C187">
        <v>1</v>
      </c>
    </row>
    <row r="188" spans="1:3">
      <c r="A188" t="s">
        <v>189</v>
      </c>
      <c r="B188" s="36">
        <v>1293</v>
      </c>
      <c r="C188">
        <v>1</v>
      </c>
    </row>
    <row r="189" spans="1:3">
      <c r="A189" t="s">
        <v>190</v>
      </c>
      <c r="B189" s="36">
        <v>1285</v>
      </c>
      <c r="C189">
        <v>1</v>
      </c>
    </row>
    <row r="190" spans="1:3">
      <c r="A190" t="s">
        <v>191</v>
      </c>
      <c r="B190" s="36">
        <v>973</v>
      </c>
      <c r="C190">
        <v>1</v>
      </c>
    </row>
    <row r="191" spans="1:3">
      <c r="A191" t="s">
        <v>192</v>
      </c>
      <c r="B191" s="36">
        <v>1303</v>
      </c>
      <c r="C191">
        <v>1</v>
      </c>
    </row>
    <row r="192" spans="1:3">
      <c r="A192" t="s">
        <v>193</v>
      </c>
      <c r="B192" s="36">
        <v>1297</v>
      </c>
      <c r="C192">
        <v>1</v>
      </c>
    </row>
    <row r="193" spans="1:3">
      <c r="A193" t="s">
        <v>194</v>
      </c>
      <c r="B193" s="36">
        <v>1287</v>
      </c>
      <c r="C193">
        <v>1</v>
      </c>
    </row>
    <row r="194" spans="1:3">
      <c r="A194" t="s">
        <v>195</v>
      </c>
      <c r="B194" s="36">
        <v>1295</v>
      </c>
      <c r="C194">
        <v>1</v>
      </c>
    </row>
    <row r="195" spans="1:3">
      <c r="A195" t="s">
        <v>196</v>
      </c>
      <c r="B195" s="36">
        <v>1286</v>
      </c>
      <c r="C195">
        <v>1</v>
      </c>
    </row>
    <row r="196" spans="1:3">
      <c r="A196" t="s">
        <v>197</v>
      </c>
      <c r="B196" s="36">
        <v>974</v>
      </c>
      <c r="C196">
        <v>1</v>
      </c>
    </row>
    <row r="197" spans="1:3">
      <c r="A197" t="s">
        <v>198</v>
      </c>
      <c r="B197" s="36">
        <v>1305</v>
      </c>
      <c r="C197">
        <v>1</v>
      </c>
    </row>
    <row r="198" spans="1:3">
      <c r="A198" t="s">
        <v>199</v>
      </c>
      <c r="B198" s="36">
        <v>1299</v>
      </c>
      <c r="C198">
        <v>1</v>
      </c>
    </row>
    <row r="199" spans="1:3">
      <c r="A199" t="s">
        <v>200</v>
      </c>
      <c r="B199" s="36">
        <v>1289</v>
      </c>
      <c r="C199">
        <v>1</v>
      </c>
    </row>
    <row r="200" spans="1:3">
      <c r="A200" t="s">
        <v>201</v>
      </c>
      <c r="B200" s="36">
        <v>2503</v>
      </c>
      <c r="C200">
        <v>1</v>
      </c>
    </row>
    <row r="201" spans="1:3">
      <c r="A201" t="s">
        <v>202</v>
      </c>
      <c r="B201" s="36">
        <v>2507</v>
      </c>
      <c r="C201">
        <v>1</v>
      </c>
    </row>
    <row r="202" spans="1:3">
      <c r="A202" t="s">
        <v>203</v>
      </c>
      <c r="B202" s="36">
        <v>845</v>
      </c>
      <c r="C202">
        <v>1</v>
      </c>
    </row>
    <row r="203" spans="1:3">
      <c r="A203" t="s">
        <v>204</v>
      </c>
      <c r="B203" s="36">
        <v>2499</v>
      </c>
      <c r="C203">
        <v>1</v>
      </c>
    </row>
    <row r="204" spans="1:3">
      <c r="A204" t="s">
        <v>205</v>
      </c>
      <c r="B204" s="36">
        <v>1408</v>
      </c>
      <c r="C204">
        <v>1</v>
      </c>
    </row>
    <row r="205" spans="1:3">
      <c r="A205" t="s">
        <v>206</v>
      </c>
      <c r="B205" s="36">
        <v>1401</v>
      </c>
      <c r="C205">
        <v>1</v>
      </c>
    </row>
    <row r="206" spans="1:3">
      <c r="A206" t="s">
        <v>207</v>
      </c>
      <c r="B206" s="36">
        <v>2501</v>
      </c>
      <c r="C206">
        <v>1</v>
      </c>
    </row>
    <row r="207" spans="1:3">
      <c r="A207" t="s">
        <v>208</v>
      </c>
      <c r="B207" s="36">
        <v>2505</v>
      </c>
      <c r="C207">
        <v>1</v>
      </c>
    </row>
    <row r="208" spans="1:3">
      <c r="A208" s="37" t="s">
        <v>209</v>
      </c>
      <c r="B208" s="38">
        <v>847</v>
      </c>
      <c r="C208" s="37">
        <v>1</v>
      </c>
    </row>
    <row r="209" spans="1:3">
      <c r="A209" t="s">
        <v>210</v>
      </c>
      <c r="B209" s="36">
        <v>2497</v>
      </c>
      <c r="C209">
        <v>1</v>
      </c>
    </row>
    <row r="210" spans="1:3">
      <c r="A210" t="s">
        <v>211</v>
      </c>
      <c r="B210" s="36">
        <v>2204</v>
      </c>
      <c r="C210">
        <v>1</v>
      </c>
    </row>
    <row r="211" spans="1:3">
      <c r="A211" t="s">
        <v>212</v>
      </c>
      <c r="B211" s="36">
        <v>2199</v>
      </c>
      <c r="C211">
        <v>1</v>
      </c>
    </row>
    <row r="212" spans="1:3">
      <c r="A212" t="s">
        <v>213</v>
      </c>
      <c r="B212" s="36">
        <v>1403</v>
      </c>
      <c r="C212">
        <v>1</v>
      </c>
    </row>
    <row r="213" spans="1:3">
      <c r="A213" t="s">
        <v>214</v>
      </c>
      <c r="B213" s="36">
        <v>1398</v>
      </c>
      <c r="C213">
        <v>1</v>
      </c>
    </row>
    <row r="214" spans="1:3">
      <c r="A214" t="s">
        <v>215</v>
      </c>
      <c r="B214" s="36">
        <v>846</v>
      </c>
      <c r="C214">
        <v>1</v>
      </c>
    </row>
    <row r="215" spans="1:3">
      <c r="A215" t="s">
        <v>216</v>
      </c>
      <c r="B215" s="36">
        <v>1410</v>
      </c>
      <c r="C215">
        <v>1</v>
      </c>
    </row>
    <row r="216" spans="1:3">
      <c r="A216" t="s">
        <v>217</v>
      </c>
      <c r="B216" s="36">
        <v>1406</v>
      </c>
      <c r="C216">
        <v>1</v>
      </c>
    </row>
    <row r="217" spans="1:3">
      <c r="A217" t="s">
        <v>218</v>
      </c>
      <c r="B217" s="36">
        <v>1399</v>
      </c>
      <c r="C217">
        <v>1</v>
      </c>
    </row>
    <row r="218" spans="1:3">
      <c r="A218" t="s">
        <v>219</v>
      </c>
      <c r="B218" s="36">
        <v>1564</v>
      </c>
      <c r="C218">
        <v>1</v>
      </c>
    </row>
    <row r="219" spans="1:3">
      <c r="A219" t="s">
        <v>220</v>
      </c>
      <c r="B219" s="36">
        <v>1861</v>
      </c>
      <c r="C219">
        <v>1</v>
      </c>
    </row>
    <row r="220" spans="1:3">
      <c r="A220" t="s">
        <v>221</v>
      </c>
      <c r="B220" s="36">
        <v>1575</v>
      </c>
      <c r="C220">
        <v>1</v>
      </c>
    </row>
    <row r="221" spans="1:3">
      <c r="A221" t="s">
        <v>222</v>
      </c>
      <c r="B221" s="36">
        <v>1569</v>
      </c>
      <c r="C221">
        <v>1</v>
      </c>
    </row>
    <row r="222" spans="1:3">
      <c r="A222" t="s">
        <v>223</v>
      </c>
      <c r="B222" s="36">
        <v>1614</v>
      </c>
      <c r="C222">
        <v>1</v>
      </c>
    </row>
    <row r="223" spans="1:3">
      <c r="A223" t="s">
        <v>224</v>
      </c>
      <c r="B223" s="36">
        <v>1557</v>
      </c>
      <c r="C223">
        <v>1</v>
      </c>
    </row>
    <row r="224" spans="1:3">
      <c r="A224" t="s">
        <v>225</v>
      </c>
      <c r="B224" s="36">
        <v>1612</v>
      </c>
      <c r="C224">
        <v>1</v>
      </c>
    </row>
    <row r="225" spans="1:3">
      <c r="A225" t="s">
        <v>226</v>
      </c>
      <c r="B225" s="36">
        <v>1571</v>
      </c>
      <c r="C225">
        <v>1</v>
      </c>
    </row>
    <row r="226" spans="1:3">
      <c r="A226" t="s">
        <v>227</v>
      </c>
      <c r="B226" s="36">
        <v>1565</v>
      </c>
      <c r="C226">
        <v>1</v>
      </c>
    </row>
    <row r="227" spans="1:3">
      <c r="A227" t="s">
        <v>228</v>
      </c>
      <c r="B227" s="36">
        <v>962</v>
      </c>
      <c r="C227">
        <v>1</v>
      </c>
    </row>
    <row r="228" spans="1:3">
      <c r="A228" t="s">
        <v>229</v>
      </c>
      <c r="B228" s="36">
        <v>961</v>
      </c>
      <c r="C228">
        <v>1</v>
      </c>
    </row>
    <row r="229" spans="1:3">
      <c r="A229" t="s">
        <v>230</v>
      </c>
      <c r="B229" s="36">
        <v>960</v>
      </c>
      <c r="C229">
        <v>1</v>
      </c>
    </row>
    <row r="230" spans="1:3">
      <c r="A230" t="s">
        <v>231</v>
      </c>
      <c r="B230" s="36">
        <v>1613</v>
      </c>
      <c r="C230">
        <v>1</v>
      </c>
    </row>
    <row r="231" spans="1:3">
      <c r="A231" t="s">
        <v>232</v>
      </c>
      <c r="B231" s="36">
        <v>1563</v>
      </c>
      <c r="C231">
        <v>1</v>
      </c>
    </row>
    <row r="232" spans="1:3">
      <c r="A232" s="37" t="s">
        <v>233</v>
      </c>
      <c r="B232" s="38">
        <v>1611</v>
      </c>
      <c r="C232">
        <v>1</v>
      </c>
    </row>
    <row r="233" spans="1:3">
      <c r="A233" t="s">
        <v>234</v>
      </c>
      <c r="B233" s="36">
        <v>1573</v>
      </c>
      <c r="C233">
        <v>1</v>
      </c>
    </row>
    <row r="234" spans="1:3">
      <c r="A234" t="s">
        <v>235</v>
      </c>
      <c r="B234" s="36">
        <v>1567</v>
      </c>
      <c r="C234">
        <v>1</v>
      </c>
    </row>
  </sheetData>
  <autoFilter xmlns:etc="http://www.wps.cn/officeDocument/2017/etCustomData" ref="A1:C234" etc:filterBottomFollowUsedRange="0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7"/>
  <sheetViews>
    <sheetView zoomScale="70" zoomScaleNormal="70" topLeftCell="A142" workbookViewId="0">
      <selection activeCell="B168" sqref="B168"/>
    </sheetView>
  </sheetViews>
  <sheetFormatPr defaultColWidth="9" defaultRowHeight="16.8" outlineLevelCol="2"/>
  <cols>
    <col min="1" max="1" width="28.3359375" customWidth="1"/>
    <col min="2" max="2" width="18.5859375" customWidth="1"/>
  </cols>
  <sheetData>
    <row r="1" spans="1:3">
      <c r="A1" s="35" t="s">
        <v>0</v>
      </c>
      <c r="B1" s="36" t="s">
        <v>1</v>
      </c>
      <c r="C1" t="s">
        <v>2</v>
      </c>
    </row>
    <row r="2" spans="1:3">
      <c r="A2" t="s">
        <v>3</v>
      </c>
      <c r="B2" s="36">
        <v>1680</v>
      </c>
      <c r="C2">
        <v>2</v>
      </c>
    </row>
    <row r="3" spans="1:3">
      <c r="A3" t="s">
        <v>4</v>
      </c>
      <c r="B3" s="36">
        <v>1839</v>
      </c>
      <c r="C3">
        <v>2</v>
      </c>
    </row>
    <row r="4" spans="1:3">
      <c r="A4" t="s">
        <v>5</v>
      </c>
      <c r="B4" s="36">
        <v>1394</v>
      </c>
      <c r="C4">
        <v>2</v>
      </c>
    </row>
    <row r="5" spans="1:3">
      <c r="A5" t="s">
        <v>6</v>
      </c>
      <c r="B5" s="36">
        <v>1841</v>
      </c>
      <c r="C5">
        <v>2</v>
      </c>
    </row>
    <row r="6" spans="1:3">
      <c r="A6" t="s">
        <v>7</v>
      </c>
      <c r="B6" s="36">
        <v>1843</v>
      </c>
      <c r="C6">
        <v>2</v>
      </c>
    </row>
    <row r="7" spans="1:3">
      <c r="A7" t="s">
        <v>8</v>
      </c>
      <c r="B7" s="36">
        <v>1837</v>
      </c>
      <c r="C7">
        <v>2</v>
      </c>
    </row>
    <row r="8" spans="1:3">
      <c r="A8" t="s">
        <v>10</v>
      </c>
      <c r="B8" s="36">
        <v>2476</v>
      </c>
      <c r="C8">
        <v>2</v>
      </c>
    </row>
    <row r="9" spans="1:3">
      <c r="A9" t="s">
        <v>11</v>
      </c>
      <c r="B9" s="36">
        <v>2472</v>
      </c>
      <c r="C9">
        <v>2</v>
      </c>
    </row>
    <row r="10" spans="1:3">
      <c r="A10" t="s">
        <v>12</v>
      </c>
      <c r="B10" s="36">
        <v>2319</v>
      </c>
      <c r="C10">
        <v>2</v>
      </c>
    </row>
    <row r="11" spans="1:3">
      <c r="A11" t="s">
        <v>13</v>
      </c>
      <c r="B11" s="36">
        <v>2480</v>
      </c>
      <c r="C11">
        <v>2</v>
      </c>
    </row>
    <row r="12" spans="1:3">
      <c r="A12" t="s">
        <v>14</v>
      </c>
      <c r="B12" s="36">
        <v>1387</v>
      </c>
      <c r="C12">
        <v>2</v>
      </c>
    </row>
    <row r="13" spans="1:3">
      <c r="A13" t="s">
        <v>15</v>
      </c>
      <c r="B13" s="36">
        <v>1378</v>
      </c>
      <c r="C13">
        <v>2</v>
      </c>
    </row>
    <row r="14" spans="1:3">
      <c r="A14" t="s">
        <v>16</v>
      </c>
      <c r="B14" s="36">
        <v>2478</v>
      </c>
      <c r="C14">
        <v>2</v>
      </c>
    </row>
    <row r="15" spans="1:3">
      <c r="A15" t="s">
        <v>17</v>
      </c>
      <c r="B15" s="36">
        <v>2474</v>
      </c>
      <c r="C15">
        <v>2</v>
      </c>
    </row>
    <row r="16" spans="1:3">
      <c r="A16" t="s">
        <v>18</v>
      </c>
      <c r="B16" s="36">
        <v>2318</v>
      </c>
      <c r="C16">
        <v>2</v>
      </c>
    </row>
    <row r="17" spans="1:3">
      <c r="A17" t="s">
        <v>19</v>
      </c>
      <c r="B17" s="36">
        <v>2482</v>
      </c>
      <c r="C17">
        <v>2</v>
      </c>
    </row>
    <row r="18" spans="1:3">
      <c r="A18" t="s">
        <v>20</v>
      </c>
      <c r="B18" s="36">
        <v>2213</v>
      </c>
      <c r="C18">
        <v>2</v>
      </c>
    </row>
    <row r="19" spans="1:3">
      <c r="A19" t="s">
        <v>21</v>
      </c>
      <c r="B19" s="36">
        <v>2211</v>
      </c>
      <c r="C19">
        <v>2</v>
      </c>
    </row>
    <row r="20" spans="1:3">
      <c r="A20" t="s">
        <v>22</v>
      </c>
      <c r="B20" s="36">
        <v>1381</v>
      </c>
      <c r="C20">
        <v>2</v>
      </c>
    </row>
    <row r="21" spans="1:3">
      <c r="A21" t="s">
        <v>23</v>
      </c>
      <c r="B21" s="36">
        <v>2312</v>
      </c>
      <c r="C21">
        <v>2</v>
      </c>
    </row>
    <row r="22" spans="1:3">
      <c r="A22" t="s">
        <v>24</v>
      </c>
      <c r="B22" s="36">
        <v>2317</v>
      </c>
      <c r="C22">
        <v>2</v>
      </c>
    </row>
    <row r="23" spans="1:3">
      <c r="A23" t="s">
        <v>25</v>
      </c>
      <c r="B23" s="36">
        <v>1389</v>
      </c>
      <c r="C23">
        <v>2</v>
      </c>
    </row>
    <row r="24" spans="1:3">
      <c r="A24" t="s">
        <v>26</v>
      </c>
      <c r="B24" s="36">
        <v>1384</v>
      </c>
      <c r="C24">
        <v>2</v>
      </c>
    </row>
    <row r="25" spans="1:3">
      <c r="A25" t="s">
        <v>27</v>
      </c>
      <c r="B25" s="36">
        <v>1370</v>
      </c>
      <c r="C25">
        <v>2</v>
      </c>
    </row>
    <row r="26" spans="1:3">
      <c r="A26" t="s">
        <v>28</v>
      </c>
      <c r="B26" s="36">
        <v>1313</v>
      </c>
      <c r="C26">
        <v>2</v>
      </c>
    </row>
    <row r="27" spans="1:3">
      <c r="A27" t="s">
        <v>29</v>
      </c>
      <c r="B27" s="36">
        <v>2391</v>
      </c>
      <c r="C27">
        <v>2</v>
      </c>
    </row>
    <row r="28" spans="1:3">
      <c r="A28" t="s">
        <v>30</v>
      </c>
      <c r="B28" s="36">
        <v>2386</v>
      </c>
      <c r="C28">
        <v>2</v>
      </c>
    </row>
    <row r="29" spans="1:3">
      <c r="A29" t="s">
        <v>31</v>
      </c>
      <c r="B29" s="36">
        <v>1317</v>
      </c>
      <c r="C29">
        <v>2</v>
      </c>
    </row>
    <row r="30" spans="1:3">
      <c r="A30" t="s">
        <v>32</v>
      </c>
      <c r="B30" s="36">
        <v>1315</v>
      </c>
      <c r="C30">
        <v>2</v>
      </c>
    </row>
    <row r="31" spans="1:3">
      <c r="A31" t="s">
        <v>33</v>
      </c>
      <c r="B31" s="36">
        <v>1311</v>
      </c>
      <c r="C31">
        <v>2</v>
      </c>
    </row>
    <row r="32" spans="1:3">
      <c r="A32" t="s">
        <v>34</v>
      </c>
      <c r="B32" s="36">
        <v>1312</v>
      </c>
      <c r="C32">
        <v>2</v>
      </c>
    </row>
    <row r="33" spans="1:3">
      <c r="A33" t="s">
        <v>35</v>
      </c>
      <c r="B33" s="36">
        <v>2388</v>
      </c>
      <c r="C33">
        <v>2</v>
      </c>
    </row>
    <row r="34" spans="1:3">
      <c r="A34" t="s">
        <v>36</v>
      </c>
      <c r="B34" s="36">
        <v>2383</v>
      </c>
      <c r="C34">
        <v>2</v>
      </c>
    </row>
    <row r="35" spans="1:3">
      <c r="A35" t="s">
        <v>37</v>
      </c>
      <c r="B35" s="36">
        <v>1316</v>
      </c>
      <c r="C35">
        <v>2</v>
      </c>
    </row>
    <row r="36" spans="1:3">
      <c r="A36" t="s">
        <v>38</v>
      </c>
      <c r="B36" s="36">
        <v>1314</v>
      </c>
      <c r="C36">
        <v>2</v>
      </c>
    </row>
    <row r="37" spans="1:3">
      <c r="A37" t="s">
        <v>39</v>
      </c>
      <c r="B37" s="36">
        <v>1310</v>
      </c>
      <c r="C37">
        <v>2</v>
      </c>
    </row>
    <row r="38" spans="1:3">
      <c r="A38" t="s">
        <v>40</v>
      </c>
      <c r="B38" s="36">
        <v>1094</v>
      </c>
      <c r="C38">
        <v>2</v>
      </c>
    </row>
    <row r="39" spans="1:3">
      <c r="A39" t="s">
        <v>41</v>
      </c>
      <c r="B39" s="36">
        <v>2328</v>
      </c>
      <c r="C39">
        <v>2</v>
      </c>
    </row>
    <row r="40" spans="1:3">
      <c r="A40" t="s">
        <v>42</v>
      </c>
      <c r="B40" s="36">
        <v>2323</v>
      </c>
      <c r="C40">
        <v>2</v>
      </c>
    </row>
    <row r="41" spans="1:3">
      <c r="A41" t="s">
        <v>43</v>
      </c>
      <c r="B41" s="36">
        <v>1106</v>
      </c>
      <c r="C41">
        <v>2</v>
      </c>
    </row>
    <row r="42" spans="1:3">
      <c r="A42" t="s">
        <v>44</v>
      </c>
      <c r="B42" s="36">
        <v>1100</v>
      </c>
      <c r="C42">
        <v>2</v>
      </c>
    </row>
    <row r="43" spans="1:3">
      <c r="A43" t="s">
        <v>45</v>
      </c>
      <c r="B43" s="36">
        <v>1088</v>
      </c>
      <c r="C43">
        <v>2</v>
      </c>
    </row>
    <row r="44" spans="1:3">
      <c r="A44" t="s">
        <v>46</v>
      </c>
      <c r="B44" s="36">
        <v>1090</v>
      </c>
      <c r="C44">
        <v>2</v>
      </c>
    </row>
    <row r="45" spans="1:3">
      <c r="A45" t="s">
        <v>47</v>
      </c>
      <c r="B45" s="36">
        <v>2326</v>
      </c>
      <c r="C45">
        <v>2</v>
      </c>
    </row>
    <row r="46" spans="1:3">
      <c r="A46" t="s">
        <v>48</v>
      </c>
      <c r="B46" s="36">
        <v>2325</v>
      </c>
      <c r="C46">
        <v>2</v>
      </c>
    </row>
    <row r="47" spans="1:3">
      <c r="A47" t="s">
        <v>49</v>
      </c>
      <c r="B47" s="36">
        <v>1102</v>
      </c>
      <c r="C47">
        <v>2</v>
      </c>
    </row>
    <row r="48" spans="1:3">
      <c r="A48" t="s">
        <v>50</v>
      </c>
      <c r="B48" s="36">
        <v>1096</v>
      </c>
      <c r="C48">
        <v>2</v>
      </c>
    </row>
    <row r="49" spans="1:3">
      <c r="A49" t="s">
        <v>51</v>
      </c>
      <c r="B49" s="36">
        <v>1084</v>
      </c>
      <c r="C49">
        <v>2</v>
      </c>
    </row>
    <row r="50" spans="1:3">
      <c r="A50" t="s">
        <v>52</v>
      </c>
      <c r="B50" s="36">
        <v>1092</v>
      </c>
      <c r="C50">
        <v>2</v>
      </c>
    </row>
    <row r="51" spans="1:3">
      <c r="A51" t="s">
        <v>53</v>
      </c>
      <c r="B51" s="36">
        <v>2327</v>
      </c>
      <c r="C51">
        <v>2</v>
      </c>
    </row>
    <row r="52" spans="1:3">
      <c r="A52" t="s">
        <v>54</v>
      </c>
      <c r="B52" s="36">
        <v>2329</v>
      </c>
      <c r="C52">
        <v>2</v>
      </c>
    </row>
    <row r="53" spans="1:3">
      <c r="A53" t="s">
        <v>55</v>
      </c>
      <c r="B53" s="36">
        <v>1104</v>
      </c>
      <c r="C53">
        <v>2</v>
      </c>
    </row>
    <row r="54" spans="1:3">
      <c r="A54" t="s">
        <v>56</v>
      </c>
      <c r="B54" s="36">
        <v>1098</v>
      </c>
      <c r="C54">
        <v>2</v>
      </c>
    </row>
    <row r="55" spans="1:3">
      <c r="A55" t="s">
        <v>57</v>
      </c>
      <c r="B55" s="36">
        <v>1308</v>
      </c>
      <c r="C55">
        <v>2</v>
      </c>
    </row>
    <row r="56" spans="1:3">
      <c r="A56" t="s">
        <v>58</v>
      </c>
      <c r="B56" s="36">
        <v>1461</v>
      </c>
      <c r="C56">
        <v>2</v>
      </c>
    </row>
    <row r="57" spans="1:3">
      <c r="A57" t="s">
        <v>59</v>
      </c>
      <c r="B57" s="36">
        <v>1473</v>
      </c>
      <c r="C57">
        <v>2</v>
      </c>
    </row>
    <row r="58" spans="1:3">
      <c r="A58" t="s">
        <v>60</v>
      </c>
      <c r="B58" s="36">
        <v>1467</v>
      </c>
      <c r="C58">
        <v>2</v>
      </c>
    </row>
    <row r="59" spans="1:3">
      <c r="A59" t="s">
        <v>61</v>
      </c>
      <c r="B59" s="36">
        <v>1457</v>
      </c>
      <c r="C59">
        <v>2</v>
      </c>
    </row>
    <row r="60" spans="1:3">
      <c r="A60" t="s">
        <v>62</v>
      </c>
      <c r="B60" s="36">
        <v>1469</v>
      </c>
      <c r="C60">
        <v>2</v>
      </c>
    </row>
    <row r="61" spans="1:3">
      <c r="A61" t="s">
        <v>63</v>
      </c>
      <c r="B61" s="36">
        <v>1463</v>
      </c>
      <c r="C61">
        <v>2</v>
      </c>
    </row>
    <row r="62" spans="1:3">
      <c r="A62" t="s">
        <v>64</v>
      </c>
      <c r="B62" s="36">
        <v>1459</v>
      </c>
      <c r="C62">
        <v>2</v>
      </c>
    </row>
    <row r="63" spans="1:3">
      <c r="A63" t="s">
        <v>65</v>
      </c>
      <c r="B63" s="36">
        <v>1471</v>
      </c>
      <c r="C63">
        <v>2</v>
      </c>
    </row>
    <row r="64" spans="1:3">
      <c r="A64" t="s">
        <v>66</v>
      </c>
      <c r="B64" s="36">
        <v>1465</v>
      </c>
      <c r="C64">
        <v>2</v>
      </c>
    </row>
    <row r="65" spans="1:3">
      <c r="A65" t="s">
        <v>67</v>
      </c>
      <c r="B65" s="36">
        <v>1173</v>
      </c>
      <c r="C65">
        <v>2</v>
      </c>
    </row>
    <row r="66" spans="1:3">
      <c r="A66" t="s">
        <v>68</v>
      </c>
      <c r="B66" s="36">
        <v>2342</v>
      </c>
      <c r="C66">
        <v>2</v>
      </c>
    </row>
    <row r="67" spans="1:3">
      <c r="A67" t="s">
        <v>69</v>
      </c>
      <c r="B67" s="36">
        <v>2341</v>
      </c>
      <c r="C67">
        <v>2</v>
      </c>
    </row>
    <row r="68" spans="1:3">
      <c r="A68" t="s">
        <v>70</v>
      </c>
      <c r="B68" s="36">
        <v>1179</v>
      </c>
      <c r="C68">
        <v>2</v>
      </c>
    </row>
    <row r="69" spans="1:3">
      <c r="A69" t="s">
        <v>71</v>
      </c>
      <c r="B69" s="36">
        <v>1177</v>
      </c>
      <c r="C69">
        <v>2</v>
      </c>
    </row>
    <row r="70" spans="1:3">
      <c r="A70" t="s">
        <v>72</v>
      </c>
      <c r="B70" s="36">
        <v>1171</v>
      </c>
      <c r="C70">
        <v>2</v>
      </c>
    </row>
    <row r="71" spans="1:3">
      <c r="A71" t="s">
        <v>73</v>
      </c>
      <c r="B71" s="36">
        <v>2339</v>
      </c>
      <c r="C71">
        <v>2</v>
      </c>
    </row>
    <row r="72" spans="1:3">
      <c r="A72" t="s">
        <v>74</v>
      </c>
      <c r="B72" s="36">
        <v>1175</v>
      </c>
      <c r="C72">
        <v>2</v>
      </c>
    </row>
    <row r="73" spans="1:3">
      <c r="A73" t="s">
        <v>75</v>
      </c>
      <c r="B73" s="36">
        <v>1199</v>
      </c>
      <c r="C73">
        <v>2</v>
      </c>
    </row>
    <row r="74" spans="1:3">
      <c r="A74" t="s">
        <v>76</v>
      </c>
      <c r="B74" s="36">
        <v>1701</v>
      </c>
      <c r="C74">
        <v>2</v>
      </c>
    </row>
    <row r="75" spans="1:3">
      <c r="A75" t="s">
        <v>77</v>
      </c>
      <c r="B75" s="36">
        <v>2343</v>
      </c>
      <c r="C75">
        <v>2</v>
      </c>
    </row>
    <row r="76" spans="1:3">
      <c r="A76" t="s">
        <v>78</v>
      </c>
      <c r="B76" s="36">
        <v>2340</v>
      </c>
      <c r="C76">
        <v>2</v>
      </c>
    </row>
    <row r="77" spans="1:3">
      <c r="A77" t="s">
        <v>79</v>
      </c>
      <c r="B77" s="36">
        <v>1705</v>
      </c>
      <c r="C77">
        <v>2</v>
      </c>
    </row>
    <row r="78" spans="1:3">
      <c r="A78" t="s">
        <v>80</v>
      </c>
      <c r="B78" s="36">
        <v>1703</v>
      </c>
      <c r="C78">
        <v>2</v>
      </c>
    </row>
    <row r="79" spans="1:3">
      <c r="A79" t="s">
        <v>81</v>
      </c>
      <c r="B79" s="36">
        <v>1169</v>
      </c>
      <c r="C79">
        <v>2</v>
      </c>
    </row>
    <row r="80" spans="1:3">
      <c r="A80" t="s">
        <v>82</v>
      </c>
      <c r="B80" s="36">
        <v>1392</v>
      </c>
      <c r="C80">
        <v>2</v>
      </c>
    </row>
    <row r="81" spans="1:3">
      <c r="A81" t="s">
        <v>83</v>
      </c>
      <c r="B81" s="36">
        <v>2333</v>
      </c>
      <c r="C81">
        <v>2</v>
      </c>
    </row>
    <row r="82" spans="1:3">
      <c r="A82" t="s">
        <v>84</v>
      </c>
      <c r="B82" s="36">
        <v>2330</v>
      </c>
      <c r="C82">
        <v>2</v>
      </c>
    </row>
    <row r="83" spans="1:3">
      <c r="A83" t="s">
        <v>85</v>
      </c>
      <c r="B83" s="36">
        <v>1225</v>
      </c>
      <c r="C83">
        <v>2</v>
      </c>
    </row>
    <row r="84" spans="1:3">
      <c r="A84" t="s">
        <v>86</v>
      </c>
      <c r="B84" s="36">
        <v>1211</v>
      </c>
      <c r="C84">
        <v>2</v>
      </c>
    </row>
    <row r="85" spans="1:3">
      <c r="A85" t="s">
        <v>87</v>
      </c>
      <c r="B85" s="36">
        <v>1213</v>
      </c>
      <c r="C85">
        <v>2</v>
      </c>
    </row>
    <row r="86" spans="1:3">
      <c r="A86" t="s">
        <v>90</v>
      </c>
      <c r="B86" s="36">
        <v>1221</v>
      </c>
      <c r="C86">
        <v>2</v>
      </c>
    </row>
    <row r="87" spans="1:3">
      <c r="A87" t="s">
        <v>91</v>
      </c>
      <c r="B87" s="36">
        <v>1217</v>
      </c>
      <c r="C87">
        <v>2</v>
      </c>
    </row>
    <row r="88" spans="1:3">
      <c r="A88" t="s">
        <v>92</v>
      </c>
      <c r="B88" s="36">
        <v>1207</v>
      </c>
      <c r="C88">
        <v>2</v>
      </c>
    </row>
    <row r="89" spans="1:3">
      <c r="A89" t="s">
        <v>93</v>
      </c>
      <c r="B89" s="36">
        <v>1580</v>
      </c>
      <c r="C89">
        <v>2</v>
      </c>
    </row>
    <row r="90" spans="1:3">
      <c r="A90" t="s">
        <v>94</v>
      </c>
      <c r="B90" s="36">
        <v>2332</v>
      </c>
      <c r="C90">
        <v>2</v>
      </c>
    </row>
    <row r="91" spans="1:3">
      <c r="A91" t="s">
        <v>95</v>
      </c>
      <c r="B91" s="36">
        <v>2331</v>
      </c>
      <c r="C91">
        <v>2</v>
      </c>
    </row>
    <row r="92" spans="1:3">
      <c r="A92" t="s">
        <v>96</v>
      </c>
      <c r="B92" s="36">
        <v>1223</v>
      </c>
      <c r="C92">
        <v>2</v>
      </c>
    </row>
    <row r="93" spans="1:3">
      <c r="A93" t="s">
        <v>97</v>
      </c>
      <c r="B93" s="36">
        <v>1219</v>
      </c>
      <c r="C93">
        <v>2</v>
      </c>
    </row>
    <row r="94" spans="1:3">
      <c r="A94" t="s">
        <v>98</v>
      </c>
      <c r="B94" s="36">
        <v>1270</v>
      </c>
      <c r="C94">
        <v>2</v>
      </c>
    </row>
    <row r="95" spans="1:3">
      <c r="A95" t="s">
        <v>99</v>
      </c>
      <c r="B95" s="36">
        <v>1686</v>
      </c>
      <c r="C95">
        <v>2</v>
      </c>
    </row>
    <row r="96" spans="1:3">
      <c r="A96" t="s">
        <v>100</v>
      </c>
      <c r="B96" s="36">
        <v>1787</v>
      </c>
      <c r="C96">
        <v>2</v>
      </c>
    </row>
    <row r="97" spans="1:3">
      <c r="A97" t="s">
        <v>101</v>
      </c>
      <c r="B97" s="36">
        <v>1685</v>
      </c>
      <c r="C97">
        <v>2</v>
      </c>
    </row>
    <row r="98" spans="1:3">
      <c r="A98" t="s">
        <v>102</v>
      </c>
      <c r="B98" s="36">
        <v>1682</v>
      </c>
      <c r="C98">
        <v>2</v>
      </c>
    </row>
    <row r="99" spans="1:3">
      <c r="A99" t="s">
        <v>103</v>
      </c>
      <c r="B99" s="36">
        <v>2488</v>
      </c>
      <c r="C99">
        <v>2</v>
      </c>
    </row>
    <row r="100" spans="1:3">
      <c r="A100" t="s">
        <v>104</v>
      </c>
      <c r="B100" s="36">
        <v>2484</v>
      </c>
      <c r="C100">
        <v>2</v>
      </c>
    </row>
    <row r="101" spans="1:3">
      <c r="A101" t="s">
        <v>105</v>
      </c>
      <c r="B101" s="36">
        <v>2322</v>
      </c>
      <c r="C101">
        <v>2</v>
      </c>
    </row>
    <row r="102" spans="1:3">
      <c r="A102" t="s">
        <v>106</v>
      </c>
      <c r="B102" s="36">
        <v>2492</v>
      </c>
      <c r="C102">
        <v>2</v>
      </c>
    </row>
    <row r="103" spans="1:3">
      <c r="A103" t="s">
        <v>107</v>
      </c>
      <c r="B103" s="36">
        <v>1362</v>
      </c>
      <c r="C103">
        <v>2</v>
      </c>
    </row>
    <row r="104" spans="1:3">
      <c r="A104" t="s">
        <v>108</v>
      </c>
      <c r="B104" s="36">
        <v>1356</v>
      </c>
      <c r="C104">
        <v>2</v>
      </c>
    </row>
    <row r="105" spans="1:3">
      <c r="A105" t="s">
        <v>109</v>
      </c>
      <c r="B105" s="36">
        <v>2490</v>
      </c>
      <c r="C105">
        <v>2</v>
      </c>
    </row>
    <row r="106" spans="1:3">
      <c r="A106" t="s">
        <v>110</v>
      </c>
      <c r="B106" s="36">
        <v>2486</v>
      </c>
      <c r="C106">
        <v>2</v>
      </c>
    </row>
    <row r="107" spans="1:3">
      <c r="A107" s="37" t="s">
        <v>111</v>
      </c>
      <c r="B107" s="38">
        <v>2320</v>
      </c>
      <c r="C107">
        <v>2</v>
      </c>
    </row>
    <row r="108" spans="1:3">
      <c r="A108" t="s">
        <v>112</v>
      </c>
      <c r="B108" s="36">
        <v>2494</v>
      </c>
      <c r="C108">
        <v>2</v>
      </c>
    </row>
    <row r="109" spans="1:3">
      <c r="A109" t="s">
        <v>113</v>
      </c>
      <c r="B109" s="36">
        <v>2207</v>
      </c>
      <c r="C109">
        <v>2</v>
      </c>
    </row>
    <row r="110" spans="1:3">
      <c r="A110" t="s">
        <v>114</v>
      </c>
      <c r="B110" s="36">
        <v>2209</v>
      </c>
      <c r="C110">
        <v>2</v>
      </c>
    </row>
    <row r="111" spans="1:3">
      <c r="A111" t="s">
        <v>115</v>
      </c>
      <c r="B111" s="36">
        <v>1358</v>
      </c>
      <c r="C111">
        <v>2</v>
      </c>
    </row>
    <row r="112" spans="1:3">
      <c r="A112" t="s">
        <v>116</v>
      </c>
      <c r="B112" s="36">
        <v>2313</v>
      </c>
      <c r="C112">
        <v>2</v>
      </c>
    </row>
    <row r="113" spans="1:3">
      <c r="A113" t="s">
        <v>117</v>
      </c>
      <c r="B113" s="36">
        <v>2321</v>
      </c>
      <c r="C113">
        <v>2</v>
      </c>
    </row>
    <row r="114" spans="1:3">
      <c r="A114" t="s">
        <v>118</v>
      </c>
      <c r="B114" s="36">
        <v>1364</v>
      </c>
      <c r="C114">
        <v>2</v>
      </c>
    </row>
    <row r="115" spans="1:3">
      <c r="A115" t="s">
        <v>119</v>
      </c>
      <c r="B115" s="36">
        <v>1360</v>
      </c>
      <c r="C115">
        <v>2</v>
      </c>
    </row>
    <row r="116" spans="1:3">
      <c r="A116" t="s">
        <v>120</v>
      </c>
      <c r="B116" s="36">
        <v>1354</v>
      </c>
      <c r="C116">
        <v>2</v>
      </c>
    </row>
    <row r="117" spans="1:3">
      <c r="A117" t="s">
        <v>121</v>
      </c>
      <c r="B117" s="36">
        <v>1537</v>
      </c>
      <c r="C117">
        <v>2</v>
      </c>
    </row>
    <row r="118" spans="1:3">
      <c r="A118" t="s">
        <v>122</v>
      </c>
      <c r="B118" s="36">
        <v>2359</v>
      </c>
      <c r="C118">
        <v>2</v>
      </c>
    </row>
    <row r="119" spans="1:3">
      <c r="A119" t="s">
        <v>123</v>
      </c>
      <c r="B119" s="36">
        <v>2337</v>
      </c>
      <c r="C119">
        <v>2</v>
      </c>
    </row>
    <row r="120" spans="1:3">
      <c r="A120" t="s">
        <v>124</v>
      </c>
      <c r="B120" s="36">
        <v>1549</v>
      </c>
      <c r="C120">
        <v>2</v>
      </c>
    </row>
    <row r="121" spans="1:3">
      <c r="A121" t="s">
        <v>125</v>
      </c>
      <c r="B121" s="36">
        <v>1543</v>
      </c>
      <c r="C121">
        <v>2</v>
      </c>
    </row>
    <row r="122" spans="1:3">
      <c r="A122" t="s">
        <v>126</v>
      </c>
      <c r="B122" s="36">
        <v>1532</v>
      </c>
      <c r="C122">
        <v>2</v>
      </c>
    </row>
    <row r="123" spans="1:3">
      <c r="A123" t="s">
        <v>127</v>
      </c>
      <c r="B123" s="36">
        <v>1534</v>
      </c>
      <c r="C123">
        <v>2</v>
      </c>
    </row>
    <row r="124" spans="1:3">
      <c r="A124" t="s">
        <v>129</v>
      </c>
      <c r="B124" s="36">
        <v>2335</v>
      </c>
      <c r="C124">
        <v>2</v>
      </c>
    </row>
    <row r="125" spans="1:3">
      <c r="A125" t="s">
        <v>130</v>
      </c>
      <c r="B125" s="36">
        <v>1545</v>
      </c>
      <c r="C125">
        <v>2</v>
      </c>
    </row>
    <row r="126" spans="1:3">
      <c r="A126" t="s">
        <v>131</v>
      </c>
      <c r="B126" s="36">
        <v>1539</v>
      </c>
      <c r="C126">
        <v>2</v>
      </c>
    </row>
    <row r="127" spans="1:3">
      <c r="A127" t="s">
        <v>132</v>
      </c>
      <c r="B127" s="36">
        <v>1550</v>
      </c>
      <c r="C127">
        <v>2</v>
      </c>
    </row>
    <row r="128" spans="1:3">
      <c r="A128" t="s">
        <v>133</v>
      </c>
      <c r="B128" s="36">
        <v>1535</v>
      </c>
      <c r="C128">
        <v>2</v>
      </c>
    </row>
    <row r="129" spans="1:3">
      <c r="A129" t="s">
        <v>134</v>
      </c>
      <c r="B129" s="36">
        <v>2358</v>
      </c>
      <c r="C129">
        <v>2</v>
      </c>
    </row>
    <row r="130" spans="1:3">
      <c r="A130" t="s">
        <v>135</v>
      </c>
      <c r="B130" s="36">
        <v>2336</v>
      </c>
      <c r="C130">
        <v>2</v>
      </c>
    </row>
    <row r="131" spans="1:3">
      <c r="A131" t="s">
        <v>136</v>
      </c>
      <c r="B131" s="36">
        <v>1547</v>
      </c>
      <c r="C131">
        <v>2</v>
      </c>
    </row>
    <row r="132" spans="1:3">
      <c r="A132" t="s">
        <v>137</v>
      </c>
      <c r="B132" s="36">
        <v>1541</v>
      </c>
      <c r="C132">
        <v>2</v>
      </c>
    </row>
    <row r="133" spans="1:3">
      <c r="A133" t="s">
        <v>138</v>
      </c>
      <c r="B133" s="36">
        <v>1551</v>
      </c>
      <c r="C133">
        <v>2</v>
      </c>
    </row>
    <row r="134" spans="1:3">
      <c r="A134" t="s">
        <v>139</v>
      </c>
      <c r="B134" s="36">
        <v>1577</v>
      </c>
      <c r="C134">
        <v>2</v>
      </c>
    </row>
    <row r="135" spans="1:3">
      <c r="A135" t="s">
        <v>140</v>
      </c>
      <c r="B135" s="36">
        <v>2395</v>
      </c>
      <c r="C135">
        <v>2</v>
      </c>
    </row>
    <row r="136" spans="1:3">
      <c r="A136" t="s">
        <v>141</v>
      </c>
      <c r="B136" s="36">
        <v>2394</v>
      </c>
      <c r="C136">
        <v>2</v>
      </c>
    </row>
    <row r="137" spans="1:3">
      <c r="A137" t="s">
        <v>142</v>
      </c>
      <c r="B137" s="36">
        <v>1578</v>
      </c>
      <c r="C137">
        <v>2</v>
      </c>
    </row>
    <row r="138" spans="1:3">
      <c r="A138" t="s">
        <v>143</v>
      </c>
      <c r="B138" s="36">
        <v>1562</v>
      </c>
      <c r="C138">
        <v>2</v>
      </c>
    </row>
    <row r="139" spans="1:3">
      <c r="A139" t="s">
        <v>144</v>
      </c>
      <c r="B139" s="36">
        <v>2396</v>
      </c>
      <c r="C139">
        <v>2</v>
      </c>
    </row>
    <row r="140" spans="1:3">
      <c r="A140" t="s">
        <v>145</v>
      </c>
      <c r="B140" s="36">
        <v>1513</v>
      </c>
      <c r="C140">
        <v>2</v>
      </c>
    </row>
    <row r="141" spans="1:3">
      <c r="A141" t="s">
        <v>146</v>
      </c>
      <c r="B141" s="36">
        <v>2057</v>
      </c>
      <c r="C141">
        <v>2</v>
      </c>
    </row>
    <row r="142" spans="1:3">
      <c r="A142" t="s">
        <v>147</v>
      </c>
      <c r="B142" s="36">
        <v>1514</v>
      </c>
      <c r="C142">
        <v>2</v>
      </c>
    </row>
    <row r="143" spans="1:3">
      <c r="A143" t="s">
        <v>148</v>
      </c>
      <c r="B143" s="36">
        <v>1518</v>
      </c>
      <c r="C143">
        <v>2</v>
      </c>
    </row>
    <row r="144" spans="1:3">
      <c r="A144" t="s">
        <v>149</v>
      </c>
      <c r="B144" s="36">
        <v>1516</v>
      </c>
      <c r="C144">
        <v>2</v>
      </c>
    </row>
    <row r="145" spans="1:3">
      <c r="A145" t="s">
        <v>150</v>
      </c>
      <c r="B145" s="36">
        <v>1515</v>
      </c>
      <c r="C145">
        <v>2</v>
      </c>
    </row>
    <row r="146" spans="1:3">
      <c r="A146" t="s">
        <v>151</v>
      </c>
      <c r="B146" s="36">
        <v>1561</v>
      </c>
      <c r="C146">
        <v>2</v>
      </c>
    </row>
    <row r="147" spans="1:3">
      <c r="A147" t="s">
        <v>152</v>
      </c>
      <c r="B147" s="36">
        <v>1517</v>
      </c>
      <c r="C147">
        <v>2</v>
      </c>
    </row>
    <row r="148" spans="1:3">
      <c r="A148" t="s">
        <v>153</v>
      </c>
      <c r="B148" s="36">
        <v>1944</v>
      </c>
      <c r="C148">
        <v>2</v>
      </c>
    </row>
    <row r="149" spans="1:3">
      <c r="A149" t="s">
        <v>155</v>
      </c>
      <c r="B149" s="36">
        <v>1949</v>
      </c>
      <c r="C149">
        <v>2</v>
      </c>
    </row>
    <row r="150" spans="1:3">
      <c r="A150" t="s">
        <v>156</v>
      </c>
      <c r="B150" s="36">
        <v>1941</v>
      </c>
      <c r="C150">
        <v>2</v>
      </c>
    </row>
    <row r="151" spans="1:3">
      <c r="A151" t="s">
        <v>157</v>
      </c>
      <c r="B151" s="36">
        <v>1942</v>
      </c>
      <c r="C151">
        <v>2</v>
      </c>
    </row>
    <row r="152" spans="1:3">
      <c r="A152" t="s">
        <v>159</v>
      </c>
      <c r="B152" s="36">
        <v>1947</v>
      </c>
      <c r="C152">
        <v>2</v>
      </c>
    </row>
    <row r="153" spans="1:3">
      <c r="A153" t="s">
        <v>160</v>
      </c>
      <c r="B153" s="36">
        <v>1945</v>
      </c>
      <c r="C153">
        <v>2</v>
      </c>
    </row>
    <row r="154" spans="1:3">
      <c r="A154" t="s">
        <v>161</v>
      </c>
      <c r="B154" s="36">
        <v>1952</v>
      </c>
      <c r="C154">
        <v>2</v>
      </c>
    </row>
    <row r="155" spans="1:3">
      <c r="A155" t="s">
        <v>162</v>
      </c>
      <c r="B155" s="36">
        <v>1943</v>
      </c>
      <c r="C155">
        <v>2</v>
      </c>
    </row>
    <row r="156" spans="1:3">
      <c r="A156" t="s">
        <v>164</v>
      </c>
      <c r="B156" s="36">
        <v>1948</v>
      </c>
      <c r="C156">
        <v>2</v>
      </c>
    </row>
    <row r="157" spans="1:3">
      <c r="A157" t="s">
        <v>165</v>
      </c>
      <c r="B157" s="36">
        <v>1940</v>
      </c>
      <c r="C157">
        <v>2</v>
      </c>
    </row>
    <row r="158" spans="1:3">
      <c r="A158" t="s">
        <v>166</v>
      </c>
      <c r="B158" s="36">
        <v>1946</v>
      </c>
      <c r="C158">
        <v>2</v>
      </c>
    </row>
    <row r="159" spans="1:3">
      <c r="A159" t="s">
        <v>167</v>
      </c>
      <c r="B159" s="36">
        <v>1125</v>
      </c>
      <c r="C159">
        <v>2</v>
      </c>
    </row>
    <row r="160" spans="1:3">
      <c r="A160" t="s">
        <v>168</v>
      </c>
      <c r="B160" s="36">
        <v>2390</v>
      </c>
      <c r="C160">
        <v>2</v>
      </c>
    </row>
    <row r="161" spans="1:3">
      <c r="A161" t="s">
        <v>169</v>
      </c>
      <c r="B161" s="36">
        <v>2385</v>
      </c>
      <c r="C161">
        <v>2</v>
      </c>
    </row>
    <row r="162" spans="1:3">
      <c r="A162" t="s">
        <v>170</v>
      </c>
      <c r="B162" s="36">
        <v>1137</v>
      </c>
      <c r="C162">
        <v>2</v>
      </c>
    </row>
    <row r="163" spans="1:3">
      <c r="A163" t="s">
        <v>171</v>
      </c>
      <c r="B163" s="36">
        <v>1131</v>
      </c>
      <c r="C163">
        <v>2</v>
      </c>
    </row>
    <row r="164" spans="1:3">
      <c r="A164" t="s">
        <v>172</v>
      </c>
      <c r="B164" s="36">
        <v>1119</v>
      </c>
      <c r="C164">
        <v>2</v>
      </c>
    </row>
    <row r="165" spans="1:3">
      <c r="A165" t="s">
        <v>173</v>
      </c>
      <c r="B165" s="36">
        <v>1121</v>
      </c>
      <c r="C165">
        <v>2</v>
      </c>
    </row>
    <row r="166" spans="1:3">
      <c r="A166" t="s">
        <v>174</v>
      </c>
      <c r="B166" s="36">
        <v>2387</v>
      </c>
      <c r="C166">
        <v>2</v>
      </c>
    </row>
    <row r="167" spans="1:3">
      <c r="A167" t="s">
        <v>175</v>
      </c>
      <c r="B167" s="36">
        <v>2382</v>
      </c>
      <c r="C167">
        <v>2</v>
      </c>
    </row>
    <row r="168" spans="1:3">
      <c r="A168" t="s">
        <v>176</v>
      </c>
      <c r="B168" s="36">
        <v>1133</v>
      </c>
      <c r="C168">
        <v>2</v>
      </c>
    </row>
    <row r="169" spans="1:3">
      <c r="A169" t="s">
        <v>177</v>
      </c>
      <c r="B169" s="36">
        <v>1127</v>
      </c>
      <c r="C169">
        <v>2</v>
      </c>
    </row>
    <row r="170" spans="1:3">
      <c r="A170" t="s">
        <v>178</v>
      </c>
      <c r="B170" s="36">
        <v>1115</v>
      </c>
      <c r="C170">
        <v>2</v>
      </c>
    </row>
    <row r="171" spans="1:3">
      <c r="A171" t="s">
        <v>179</v>
      </c>
      <c r="B171" s="36">
        <v>1123</v>
      </c>
      <c r="C171">
        <v>2</v>
      </c>
    </row>
    <row r="172" spans="1:3">
      <c r="A172" t="s">
        <v>180</v>
      </c>
      <c r="B172" s="36">
        <v>2389</v>
      </c>
      <c r="C172">
        <v>2</v>
      </c>
    </row>
    <row r="173" spans="1:3">
      <c r="A173" t="s">
        <v>181</v>
      </c>
      <c r="B173" s="36">
        <v>2384</v>
      </c>
      <c r="C173">
        <v>2</v>
      </c>
    </row>
    <row r="174" spans="1:3">
      <c r="A174" t="s">
        <v>182</v>
      </c>
      <c r="B174" s="36">
        <v>1135</v>
      </c>
      <c r="C174">
        <v>2</v>
      </c>
    </row>
    <row r="175" spans="1:3">
      <c r="A175" t="s">
        <v>183</v>
      </c>
      <c r="B175" s="36">
        <v>1129</v>
      </c>
      <c r="C175">
        <v>2</v>
      </c>
    </row>
    <row r="176" spans="1:3">
      <c r="A176" t="s">
        <v>184</v>
      </c>
      <c r="B176" s="36">
        <v>1117</v>
      </c>
      <c r="C176">
        <v>2</v>
      </c>
    </row>
    <row r="177" spans="1:3">
      <c r="A177" t="s">
        <v>185</v>
      </c>
      <c r="B177" s="36">
        <v>2299</v>
      </c>
      <c r="C177">
        <v>2</v>
      </c>
    </row>
    <row r="178" spans="1:3">
      <c r="A178" t="s">
        <v>186</v>
      </c>
      <c r="B178" s="36">
        <v>1859</v>
      </c>
      <c r="C178">
        <v>2</v>
      </c>
    </row>
    <row r="179" spans="1:3">
      <c r="A179" t="s">
        <v>187</v>
      </c>
      <c r="B179" s="36">
        <v>1302</v>
      </c>
      <c r="C179">
        <v>2</v>
      </c>
    </row>
    <row r="180" spans="1:3">
      <c r="A180" t="s">
        <v>188</v>
      </c>
      <c r="B180" s="36">
        <v>1292</v>
      </c>
      <c r="C180">
        <v>2</v>
      </c>
    </row>
    <row r="181" spans="1:3">
      <c r="A181" t="s">
        <v>189</v>
      </c>
      <c r="B181" s="36">
        <v>1294</v>
      </c>
      <c r="C181">
        <v>2</v>
      </c>
    </row>
    <row r="182" spans="1:3">
      <c r="A182" t="s">
        <v>190</v>
      </c>
      <c r="B182" s="36">
        <v>2304</v>
      </c>
      <c r="C182">
        <v>2</v>
      </c>
    </row>
    <row r="183" spans="1:3">
      <c r="A183" t="s">
        <v>191</v>
      </c>
      <c r="B183" s="36">
        <v>2296</v>
      </c>
      <c r="C183">
        <v>2</v>
      </c>
    </row>
    <row r="184" spans="1:3">
      <c r="A184" t="s">
        <v>192</v>
      </c>
      <c r="B184" s="36">
        <v>1304</v>
      </c>
      <c r="C184">
        <v>2</v>
      </c>
    </row>
    <row r="185" spans="1:3">
      <c r="A185" t="s">
        <v>193</v>
      </c>
      <c r="B185" s="36">
        <v>1298</v>
      </c>
      <c r="C185">
        <v>2</v>
      </c>
    </row>
    <row r="186" spans="1:3">
      <c r="A186" t="s">
        <v>194</v>
      </c>
      <c r="B186" s="36">
        <v>1288</v>
      </c>
      <c r="C186">
        <v>2</v>
      </c>
    </row>
    <row r="187" spans="1:3">
      <c r="A187" t="s">
        <v>195</v>
      </c>
      <c r="B187" s="36">
        <v>1296</v>
      </c>
      <c r="C187">
        <v>2</v>
      </c>
    </row>
    <row r="188" spans="1:3">
      <c r="A188" t="s">
        <v>196</v>
      </c>
      <c r="B188" s="36">
        <v>2306</v>
      </c>
      <c r="C188">
        <v>2</v>
      </c>
    </row>
    <row r="189" spans="1:3">
      <c r="A189" t="s">
        <v>197</v>
      </c>
      <c r="B189" s="36">
        <v>2298</v>
      </c>
      <c r="C189">
        <v>2</v>
      </c>
    </row>
    <row r="190" spans="1:3">
      <c r="A190" t="s">
        <v>198</v>
      </c>
      <c r="B190" s="36">
        <v>1306</v>
      </c>
      <c r="C190">
        <v>2</v>
      </c>
    </row>
    <row r="191" spans="1:3">
      <c r="A191" t="s">
        <v>199</v>
      </c>
      <c r="B191" s="36">
        <v>1300</v>
      </c>
      <c r="C191">
        <v>2</v>
      </c>
    </row>
    <row r="192" spans="1:3">
      <c r="A192" t="s">
        <v>200</v>
      </c>
      <c r="B192" s="36">
        <v>1290</v>
      </c>
      <c r="C192">
        <v>2</v>
      </c>
    </row>
    <row r="193" spans="1:3">
      <c r="A193" t="s">
        <v>201</v>
      </c>
      <c r="B193" s="36">
        <v>2502</v>
      </c>
      <c r="C193">
        <v>2</v>
      </c>
    </row>
    <row r="194" spans="1:3">
      <c r="A194" t="s">
        <v>202</v>
      </c>
      <c r="B194" s="36">
        <v>2506</v>
      </c>
      <c r="C194">
        <v>2</v>
      </c>
    </row>
    <row r="195" spans="1:3">
      <c r="A195" t="s">
        <v>203</v>
      </c>
      <c r="B195" s="36">
        <v>2316</v>
      </c>
      <c r="C195">
        <v>2</v>
      </c>
    </row>
    <row r="196" spans="1:3">
      <c r="A196" t="s">
        <v>204</v>
      </c>
      <c r="B196" s="36">
        <v>2498</v>
      </c>
      <c r="C196">
        <v>2</v>
      </c>
    </row>
    <row r="197" spans="1:3">
      <c r="A197" t="s">
        <v>205</v>
      </c>
      <c r="B197" s="36">
        <v>1409</v>
      </c>
      <c r="C197">
        <v>2</v>
      </c>
    </row>
    <row r="198" spans="1:3">
      <c r="A198" t="s">
        <v>206</v>
      </c>
      <c r="B198" s="36">
        <v>1402</v>
      </c>
      <c r="C198">
        <v>2</v>
      </c>
    </row>
    <row r="199" spans="1:3">
      <c r="A199" t="s">
        <v>207</v>
      </c>
      <c r="B199" s="36">
        <v>2500</v>
      </c>
      <c r="C199">
        <v>2</v>
      </c>
    </row>
    <row r="200" spans="1:3">
      <c r="A200" t="s">
        <v>208</v>
      </c>
      <c r="B200" s="36">
        <v>2504</v>
      </c>
      <c r="C200">
        <v>2</v>
      </c>
    </row>
    <row r="201" spans="1:3">
      <c r="A201" s="37" t="s">
        <v>209</v>
      </c>
      <c r="B201" s="38">
        <v>2314</v>
      </c>
      <c r="C201" s="37">
        <v>2</v>
      </c>
    </row>
    <row r="202" spans="1:3">
      <c r="A202" t="s">
        <v>210</v>
      </c>
      <c r="B202" s="36">
        <v>2496</v>
      </c>
      <c r="C202">
        <v>2</v>
      </c>
    </row>
    <row r="203" spans="1:3">
      <c r="A203" t="s">
        <v>211</v>
      </c>
      <c r="B203" s="36">
        <v>2205</v>
      </c>
      <c r="C203">
        <v>2</v>
      </c>
    </row>
    <row r="204" spans="1:3">
      <c r="A204" t="s">
        <v>212</v>
      </c>
      <c r="B204" s="36">
        <v>2203</v>
      </c>
      <c r="C204">
        <v>2</v>
      </c>
    </row>
    <row r="205" spans="1:3">
      <c r="A205" t="s">
        <v>213</v>
      </c>
      <c r="B205" s="36">
        <v>1404</v>
      </c>
      <c r="C205">
        <v>2</v>
      </c>
    </row>
    <row r="206" spans="1:3">
      <c r="A206" t="s">
        <v>214</v>
      </c>
      <c r="B206" s="36">
        <v>2311</v>
      </c>
      <c r="C206">
        <v>2</v>
      </c>
    </row>
    <row r="207" spans="1:3">
      <c r="A207" t="s">
        <v>215</v>
      </c>
      <c r="B207" s="36">
        <v>2315</v>
      </c>
      <c r="C207">
        <v>2</v>
      </c>
    </row>
    <row r="208" spans="1:3">
      <c r="A208" t="s">
        <v>216</v>
      </c>
      <c r="B208" s="36">
        <v>1411</v>
      </c>
      <c r="C208">
        <v>2</v>
      </c>
    </row>
    <row r="209" spans="1:3">
      <c r="A209" t="s">
        <v>217</v>
      </c>
      <c r="B209" s="36">
        <v>1407</v>
      </c>
      <c r="C209">
        <v>2</v>
      </c>
    </row>
    <row r="210" spans="1:3">
      <c r="A210" t="s">
        <v>218</v>
      </c>
      <c r="B210" s="36">
        <v>1400</v>
      </c>
      <c r="C210">
        <v>2</v>
      </c>
    </row>
    <row r="211" spans="1:3">
      <c r="A211" t="s">
        <v>219</v>
      </c>
      <c r="B211" s="36">
        <v>2381</v>
      </c>
      <c r="C211">
        <v>2</v>
      </c>
    </row>
    <row r="212" spans="1:3">
      <c r="A212" t="s">
        <v>220</v>
      </c>
      <c r="B212" s="36">
        <v>1862</v>
      </c>
      <c r="C212">
        <v>2</v>
      </c>
    </row>
    <row r="213" spans="1:3">
      <c r="A213" t="s">
        <v>221</v>
      </c>
      <c r="B213" s="36">
        <v>1576</v>
      </c>
      <c r="C213">
        <v>2</v>
      </c>
    </row>
    <row r="214" spans="1:3">
      <c r="A214" t="s">
        <v>222</v>
      </c>
      <c r="B214" s="36">
        <v>1570</v>
      </c>
      <c r="C214">
        <v>2</v>
      </c>
    </row>
    <row r="215" spans="1:3">
      <c r="A215" t="s">
        <v>223</v>
      </c>
      <c r="B215" s="36">
        <v>1615</v>
      </c>
      <c r="C215">
        <v>2</v>
      </c>
    </row>
    <row r="216" spans="1:3">
      <c r="A216" t="s">
        <v>224</v>
      </c>
      <c r="B216" s="36">
        <v>1560</v>
      </c>
      <c r="C216">
        <v>2</v>
      </c>
    </row>
    <row r="217" spans="1:3">
      <c r="A217" t="s">
        <v>225</v>
      </c>
      <c r="B217" s="36">
        <v>1617</v>
      </c>
      <c r="C217">
        <v>2</v>
      </c>
    </row>
    <row r="218" spans="1:3">
      <c r="A218" t="s">
        <v>226</v>
      </c>
      <c r="B218" s="36">
        <v>1572</v>
      </c>
      <c r="C218">
        <v>2</v>
      </c>
    </row>
    <row r="219" spans="1:3">
      <c r="A219" t="s">
        <v>227</v>
      </c>
      <c r="B219" s="36">
        <v>1566</v>
      </c>
      <c r="C219">
        <v>2</v>
      </c>
    </row>
    <row r="220" spans="1:3">
      <c r="A220" t="s">
        <v>228</v>
      </c>
      <c r="B220" s="36">
        <v>2380</v>
      </c>
      <c r="C220">
        <v>2</v>
      </c>
    </row>
    <row r="221" spans="1:3">
      <c r="A221" t="s">
        <v>229</v>
      </c>
      <c r="B221" s="36">
        <v>2355</v>
      </c>
      <c r="C221">
        <v>2</v>
      </c>
    </row>
    <row r="222" spans="1:3">
      <c r="A222" t="s">
        <v>230</v>
      </c>
      <c r="B222" s="36">
        <v>2366</v>
      </c>
      <c r="C222">
        <v>2</v>
      </c>
    </row>
    <row r="223" spans="1:3">
      <c r="A223" t="s">
        <v>231</v>
      </c>
      <c r="B223" s="36">
        <v>1616</v>
      </c>
      <c r="C223">
        <v>2</v>
      </c>
    </row>
    <row r="224" spans="1:3">
      <c r="A224" t="s">
        <v>232</v>
      </c>
      <c r="B224" s="36">
        <v>2377</v>
      </c>
      <c r="C224">
        <v>2</v>
      </c>
    </row>
    <row r="225" spans="1:3">
      <c r="A225" s="37" t="s">
        <v>233</v>
      </c>
      <c r="B225" s="38">
        <v>1618</v>
      </c>
      <c r="C225">
        <v>2</v>
      </c>
    </row>
    <row r="226" spans="1:3">
      <c r="A226" t="s">
        <v>234</v>
      </c>
      <c r="B226" s="36">
        <v>1574</v>
      </c>
      <c r="C226">
        <v>2</v>
      </c>
    </row>
    <row r="227" spans="1:3">
      <c r="A227" t="s">
        <v>235</v>
      </c>
      <c r="B227" s="36">
        <v>1568</v>
      </c>
      <c r="C227">
        <v>2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theme="4" tint="0.599993896298105"/>
  </sheetPr>
  <dimension ref="A1:V164"/>
  <sheetViews>
    <sheetView tabSelected="1" zoomScale="60" zoomScaleNormal="60" workbookViewId="0">
      <pane ySplit="5" topLeftCell="A6" activePane="bottomLeft" state="frozen"/>
      <selection/>
      <selection pane="bottomLeft" activeCell="A6" sqref="A6:B104"/>
    </sheetView>
  </sheetViews>
  <sheetFormatPr defaultColWidth="37.5859375" defaultRowHeight="16.8"/>
  <cols>
    <col min="1" max="1" width="14.8359375" style="10" customWidth="1"/>
    <col min="2" max="2" width="13.5859375" style="10" customWidth="1"/>
    <col min="3" max="3" width="6.5" style="11" customWidth="1"/>
    <col min="4" max="4" width="36.5" style="10" customWidth="1"/>
    <col min="5" max="5" width="12" style="10" customWidth="1"/>
    <col min="6" max="6" width="20.8359375" style="10" customWidth="1"/>
    <col min="7" max="7" width="23.0859375" style="10" customWidth="1"/>
    <col min="8" max="8" width="9.3359375" style="10" customWidth="1"/>
    <col min="9" max="9" width="7.8359375" style="10" customWidth="1"/>
    <col min="10" max="10" width="25.5859375" style="10" customWidth="1"/>
    <col min="11" max="11" width="13.3359375" style="10" customWidth="1"/>
    <col min="12" max="12" width="13.8359375" style="10" customWidth="1"/>
    <col min="13" max="16" width="12.1640625" style="10" customWidth="1"/>
    <col min="17" max="17" width="18" style="10" customWidth="1"/>
    <col min="18" max="18" width="14.1640625" style="10" customWidth="1"/>
    <col min="19" max="19" width="14.8359375" style="10" customWidth="1"/>
    <col min="20" max="20" width="50.3359375" style="10" customWidth="1"/>
    <col min="21" max="21" width="46.8359375" style="10" customWidth="1"/>
    <col min="22" max="22" width="59.0859375" style="10" customWidth="1"/>
    <col min="23" max="16384" width="37.5859375" style="10"/>
  </cols>
  <sheetData>
    <row r="1" spans="3:22">
      <c r="C1" s="10"/>
      <c r="E1" s="17"/>
      <c r="F1" s="17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27"/>
      <c r="U1" s="13"/>
      <c r="V1" s="13"/>
    </row>
    <row r="2" ht="37.6" spans="3:22">
      <c r="C2" s="10"/>
      <c r="D2" s="12" t="s">
        <v>236</v>
      </c>
      <c r="E2" s="18"/>
      <c r="F2" s="19"/>
      <c r="G2" s="20"/>
      <c r="H2" s="21"/>
      <c r="I2" s="21"/>
      <c r="J2" s="13"/>
      <c r="K2" s="13"/>
      <c r="L2" s="13"/>
      <c r="M2" s="13"/>
      <c r="N2" s="13"/>
      <c r="O2" s="13"/>
      <c r="P2" s="13"/>
      <c r="Q2" s="13"/>
      <c r="R2" s="13"/>
      <c r="S2" s="13"/>
      <c r="T2" s="28" t="s">
        <v>237</v>
      </c>
      <c r="U2" s="13"/>
      <c r="V2" s="13"/>
    </row>
    <row r="3" spans="3:22">
      <c r="C3" s="10"/>
      <c r="D3" s="13"/>
      <c r="E3" s="13"/>
      <c r="F3" s="2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29"/>
      <c r="U3" s="13"/>
      <c r="V3" s="13"/>
    </row>
    <row r="4" spans="3:22">
      <c r="C4" s="10"/>
      <c r="E4" s="13"/>
      <c r="F4" s="22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29"/>
      <c r="U4" s="13"/>
      <c r="V4" s="13"/>
    </row>
    <row r="5" ht="59.15" customHeight="1" spans="1:22">
      <c r="A5" s="14" t="s">
        <v>238</v>
      </c>
      <c r="B5" s="14" t="s">
        <v>239</v>
      </c>
      <c r="C5" s="14" t="s">
        <v>240</v>
      </c>
      <c r="D5" s="14" t="s">
        <v>241</v>
      </c>
      <c r="E5" s="14" t="s">
        <v>242</v>
      </c>
      <c r="F5" s="14" t="s">
        <v>243</v>
      </c>
      <c r="G5" s="14" t="s">
        <v>244</v>
      </c>
      <c r="H5" s="14" t="s">
        <v>245</v>
      </c>
      <c r="I5" s="14" t="s">
        <v>246</v>
      </c>
      <c r="J5" s="14" t="s">
        <v>247</v>
      </c>
      <c r="K5" s="14" t="s">
        <v>248</v>
      </c>
      <c r="L5" s="14" t="s">
        <v>249</v>
      </c>
      <c r="M5" s="14" t="s">
        <v>250</v>
      </c>
      <c r="N5" s="14" t="s">
        <v>251</v>
      </c>
      <c r="O5" s="14" t="s">
        <v>252</v>
      </c>
      <c r="P5" s="14" t="s">
        <v>253</v>
      </c>
      <c r="Q5" s="14" t="s">
        <v>254</v>
      </c>
      <c r="R5" s="14" t="s">
        <v>255</v>
      </c>
      <c r="S5" s="30" t="s">
        <v>256</v>
      </c>
      <c r="T5" s="14" t="s">
        <v>257</v>
      </c>
      <c r="U5" s="14" t="s">
        <v>258</v>
      </c>
      <c r="V5" s="14" t="s">
        <v>259</v>
      </c>
    </row>
    <row r="6" ht="18" customHeight="1" spans="1:22">
      <c r="A6" s="11" t="s">
        <v>260</v>
      </c>
      <c r="B6" s="11" t="s">
        <v>261</v>
      </c>
      <c r="C6" s="11" t="str">
        <f t="shared" ref="C6:C11" si="0">LEFT(D6,SEARCH(" ",D6))</f>
        <v>RETS </v>
      </c>
      <c r="D6" s="15" t="s">
        <v>129</v>
      </c>
      <c r="E6" s="15">
        <v>1</v>
      </c>
      <c r="F6" s="23" t="s">
        <v>262</v>
      </c>
      <c r="G6" s="15" t="s">
        <v>263</v>
      </c>
      <c r="H6" s="15" t="s">
        <v>264</v>
      </c>
      <c r="I6" s="15" t="s">
        <v>264</v>
      </c>
      <c r="J6" s="15" t="s">
        <v>265</v>
      </c>
      <c r="K6" s="15">
        <v>1</v>
      </c>
      <c r="L6" s="15">
        <v>500</v>
      </c>
      <c r="M6" s="15" t="s">
        <v>266</v>
      </c>
      <c r="N6" s="15" t="s">
        <v>267</v>
      </c>
      <c r="O6" s="15" t="s">
        <v>268</v>
      </c>
      <c r="P6" s="15" t="s">
        <v>268</v>
      </c>
      <c r="Q6" s="15" t="s">
        <v>269</v>
      </c>
      <c r="R6" s="15" t="s">
        <v>270</v>
      </c>
      <c r="S6" s="15">
        <v>1500</v>
      </c>
      <c r="T6" s="31" t="s">
        <v>271</v>
      </c>
      <c r="U6" s="32" t="s">
        <v>272</v>
      </c>
      <c r="V6" s="32" t="s">
        <v>272</v>
      </c>
    </row>
    <row r="7" ht="18" hidden="1" customHeight="1" spans="1:22">
      <c r="A7" s="11" t="s">
        <v>260</v>
      </c>
      <c r="B7" s="11" t="s">
        <v>261</v>
      </c>
      <c r="C7" s="11" t="str">
        <f t="shared" si="0"/>
        <v>ATC </v>
      </c>
      <c r="D7" s="15" t="s">
        <v>273</v>
      </c>
      <c r="E7" s="15">
        <v>2</v>
      </c>
      <c r="F7" s="23" t="s">
        <v>262</v>
      </c>
      <c r="G7" s="15" t="s">
        <v>274</v>
      </c>
      <c r="H7" s="15" t="s">
        <v>264</v>
      </c>
      <c r="I7" s="15" t="s">
        <v>264</v>
      </c>
      <c r="J7" s="15" t="s">
        <v>265</v>
      </c>
      <c r="K7" s="15">
        <v>1</v>
      </c>
      <c r="L7" s="15">
        <v>500</v>
      </c>
      <c r="M7" s="15" t="s">
        <v>266</v>
      </c>
      <c r="N7" s="15" t="s">
        <v>267</v>
      </c>
      <c r="O7" s="15" t="s">
        <v>268</v>
      </c>
      <c r="P7" s="15" t="s">
        <v>268</v>
      </c>
      <c r="Q7" s="15" t="s">
        <v>269</v>
      </c>
      <c r="R7" s="15" t="s">
        <v>270</v>
      </c>
      <c r="S7" s="15">
        <v>1500</v>
      </c>
      <c r="T7" s="31" t="s">
        <v>271</v>
      </c>
      <c r="U7" s="32" t="s">
        <v>272</v>
      </c>
      <c r="V7" s="32" t="s">
        <v>272</v>
      </c>
    </row>
    <row r="8" ht="18" hidden="1" customHeight="1" spans="1:22">
      <c r="A8" s="11" t="s">
        <v>260</v>
      </c>
      <c r="B8" s="11" t="s">
        <v>261</v>
      </c>
      <c r="C8" s="11" t="str">
        <f t="shared" si="0"/>
        <v>ZTO </v>
      </c>
      <c r="D8" s="15" t="s">
        <v>229</v>
      </c>
      <c r="E8" s="15">
        <v>3</v>
      </c>
      <c r="F8" s="23" t="s">
        <v>262</v>
      </c>
      <c r="G8" s="24" t="s">
        <v>263</v>
      </c>
      <c r="H8" s="15" t="s">
        <v>264</v>
      </c>
      <c r="I8" s="15" t="s">
        <v>264</v>
      </c>
      <c r="J8" s="15" t="s">
        <v>265</v>
      </c>
      <c r="K8" s="15">
        <v>1</v>
      </c>
      <c r="L8" s="15">
        <v>500</v>
      </c>
      <c r="M8" s="15" t="s">
        <v>266</v>
      </c>
      <c r="N8" s="15" t="s">
        <v>267</v>
      </c>
      <c r="O8" s="15" t="s">
        <v>268</v>
      </c>
      <c r="P8" s="15" t="s">
        <v>268</v>
      </c>
      <c r="Q8" s="15" t="s">
        <v>269</v>
      </c>
      <c r="R8" s="15" t="s">
        <v>270</v>
      </c>
      <c r="S8" s="15">
        <v>1500</v>
      </c>
      <c r="T8" s="31" t="s">
        <v>271</v>
      </c>
      <c r="U8" s="32" t="s">
        <v>272</v>
      </c>
      <c r="V8" s="32" t="s">
        <v>272</v>
      </c>
    </row>
    <row r="9" ht="18" hidden="1" customHeight="1" spans="1:22">
      <c r="A9" s="11" t="s">
        <v>260</v>
      </c>
      <c r="B9" s="11" t="s">
        <v>261</v>
      </c>
      <c r="C9" s="11" t="str">
        <f t="shared" si="0"/>
        <v>Ural </v>
      </c>
      <c r="D9" s="15" t="s">
        <v>191</v>
      </c>
      <c r="E9" s="15">
        <v>3</v>
      </c>
      <c r="F9" s="23" t="s">
        <v>262</v>
      </c>
      <c r="G9" s="25" t="s">
        <v>263</v>
      </c>
      <c r="H9" s="15" t="s">
        <v>264</v>
      </c>
      <c r="I9" s="15" t="s">
        <v>264</v>
      </c>
      <c r="J9" s="15" t="s">
        <v>265</v>
      </c>
      <c r="K9" s="15">
        <v>1</v>
      </c>
      <c r="L9" s="15">
        <v>500</v>
      </c>
      <c r="M9" s="15" t="s">
        <v>266</v>
      </c>
      <c r="N9" s="15" t="s">
        <v>267</v>
      </c>
      <c r="O9" s="15" t="s">
        <v>268</v>
      </c>
      <c r="P9" s="15" t="s">
        <v>268</v>
      </c>
      <c r="Q9" s="15" t="s">
        <v>269</v>
      </c>
      <c r="R9" s="15" t="s">
        <v>270</v>
      </c>
      <c r="S9" s="15">
        <v>1500</v>
      </c>
      <c r="T9" s="31" t="s">
        <v>271</v>
      </c>
      <c r="U9" s="32" t="s">
        <v>272</v>
      </c>
      <c r="V9" s="32" t="s">
        <v>272</v>
      </c>
    </row>
    <row r="10" ht="18" hidden="1" customHeight="1" spans="1:22">
      <c r="A10" s="11" t="s">
        <v>260</v>
      </c>
      <c r="B10" s="11" t="s">
        <v>261</v>
      </c>
      <c r="C10" s="11" t="str">
        <f t="shared" si="0"/>
        <v>GUOO </v>
      </c>
      <c r="D10" s="15" t="s">
        <v>73</v>
      </c>
      <c r="E10" s="15">
        <v>5</v>
      </c>
      <c r="F10" s="23" t="s">
        <v>262</v>
      </c>
      <c r="G10" s="15" t="s">
        <v>275</v>
      </c>
      <c r="H10" s="15" t="s">
        <v>264</v>
      </c>
      <c r="I10" s="15" t="s">
        <v>264</v>
      </c>
      <c r="J10" s="15" t="s">
        <v>265</v>
      </c>
      <c r="K10" s="15">
        <v>1</v>
      </c>
      <c r="L10" s="15">
        <v>500</v>
      </c>
      <c r="M10" s="15" t="s">
        <v>266</v>
      </c>
      <c r="N10" s="15" t="s">
        <v>267</v>
      </c>
      <c r="O10" s="15" t="s">
        <v>268</v>
      </c>
      <c r="P10" s="15" t="s">
        <v>268</v>
      </c>
      <c r="Q10" s="15" t="s">
        <v>269</v>
      </c>
      <c r="R10" s="15" t="s">
        <v>270</v>
      </c>
      <c r="S10" s="15">
        <v>1500</v>
      </c>
      <c r="T10" s="31" t="s">
        <v>271</v>
      </c>
      <c r="U10" s="32" t="s">
        <v>272</v>
      </c>
      <c r="V10" s="32" t="s">
        <v>272</v>
      </c>
    </row>
    <row r="11" ht="18" hidden="1" customHeight="1" spans="1:22">
      <c r="A11" s="11" t="s">
        <v>260</v>
      </c>
      <c r="B11" s="11" t="s">
        <v>261</v>
      </c>
      <c r="C11" s="11" t="str">
        <f t="shared" si="0"/>
        <v>CEL </v>
      </c>
      <c r="D11" s="15" t="s">
        <v>48</v>
      </c>
      <c r="E11" s="15">
        <v>6</v>
      </c>
      <c r="F11" s="23" t="s">
        <v>262</v>
      </c>
      <c r="G11" s="15" t="s">
        <v>276</v>
      </c>
      <c r="H11" s="15" t="s">
        <v>264</v>
      </c>
      <c r="I11" s="15" t="s">
        <v>277</v>
      </c>
      <c r="J11" s="15" t="s">
        <v>265</v>
      </c>
      <c r="K11" s="15">
        <v>1</v>
      </c>
      <c r="L11" s="15">
        <v>500</v>
      </c>
      <c r="M11" s="15" t="s">
        <v>266</v>
      </c>
      <c r="N11" s="15" t="s">
        <v>267</v>
      </c>
      <c r="O11" s="15" t="s">
        <v>268</v>
      </c>
      <c r="P11" s="15" t="s">
        <v>268</v>
      </c>
      <c r="Q11" s="15" t="s">
        <v>269</v>
      </c>
      <c r="R11" s="15" t="s">
        <v>270</v>
      </c>
      <c r="S11" s="15">
        <v>1500</v>
      </c>
      <c r="T11" s="31" t="s">
        <v>271</v>
      </c>
      <c r="U11" s="32" t="s">
        <v>272</v>
      </c>
      <c r="V11" s="32" t="s">
        <v>272</v>
      </c>
    </row>
    <row r="12" ht="18" hidden="1" customHeight="1" spans="1:22">
      <c r="A12" s="16" t="s">
        <v>278</v>
      </c>
      <c r="B12" s="16" t="s">
        <v>278</v>
      </c>
      <c r="C12" s="16" t="s">
        <v>278</v>
      </c>
      <c r="D12" s="16" t="s">
        <v>278</v>
      </c>
      <c r="E12" s="16" t="s">
        <v>279</v>
      </c>
      <c r="F12" s="16" t="s">
        <v>278</v>
      </c>
      <c r="G12" s="16" t="s">
        <v>278</v>
      </c>
      <c r="H12" s="16" t="s">
        <v>278</v>
      </c>
      <c r="I12" s="16" t="s">
        <v>278</v>
      </c>
      <c r="J12" s="16" t="s">
        <v>278</v>
      </c>
      <c r="K12" s="16" t="s">
        <v>278</v>
      </c>
      <c r="L12" s="16" t="s">
        <v>278</v>
      </c>
      <c r="M12" s="16"/>
      <c r="N12" s="16"/>
      <c r="O12" s="16"/>
      <c r="P12" s="16"/>
      <c r="Q12" s="16" t="s">
        <v>278</v>
      </c>
      <c r="R12" s="16" t="s">
        <v>278</v>
      </c>
      <c r="S12" s="16" t="s">
        <v>278</v>
      </c>
      <c r="T12" s="16" t="s">
        <v>278</v>
      </c>
      <c r="U12" s="16" t="s">
        <v>278</v>
      </c>
      <c r="V12" s="16" t="s">
        <v>278</v>
      </c>
    </row>
    <row r="13" ht="18" hidden="1" customHeight="1" spans="1:22">
      <c r="A13" s="11" t="s">
        <v>260</v>
      </c>
      <c r="B13" s="11" t="s">
        <v>280</v>
      </c>
      <c r="C13" s="11" t="str">
        <f t="shared" ref="C13:C22" si="1">LEFT(D13,SEARCH(" ",D13))</f>
        <v>Ural </v>
      </c>
      <c r="D13" s="15" t="s">
        <v>197</v>
      </c>
      <c r="E13" s="15">
        <v>1</v>
      </c>
      <c r="F13" s="23" t="s">
        <v>281</v>
      </c>
      <c r="G13" s="24" t="s">
        <v>282</v>
      </c>
      <c r="H13" s="15" t="s">
        <v>277</v>
      </c>
      <c r="I13" s="15" t="s">
        <v>264</v>
      </c>
      <c r="J13" s="15" t="s">
        <v>265</v>
      </c>
      <c r="K13" s="15">
        <v>1</v>
      </c>
      <c r="L13" s="15">
        <v>500</v>
      </c>
      <c r="M13" s="15" t="s">
        <v>266</v>
      </c>
      <c r="N13" s="15" t="s">
        <v>267</v>
      </c>
      <c r="O13" s="15" t="s">
        <v>268</v>
      </c>
      <c r="P13" s="15" t="s">
        <v>268</v>
      </c>
      <c r="Q13" s="15" t="s">
        <v>269</v>
      </c>
      <c r="R13" s="15" t="s">
        <v>270</v>
      </c>
      <c r="S13" s="15">
        <v>1500</v>
      </c>
      <c r="T13" s="31" t="s">
        <v>271</v>
      </c>
      <c r="U13" s="32" t="s">
        <v>272</v>
      </c>
      <c r="V13" s="32" t="s">
        <v>272</v>
      </c>
    </row>
    <row r="14" ht="18" hidden="1" customHeight="1" spans="1:22">
      <c r="A14" s="11" t="s">
        <v>260</v>
      </c>
      <c r="B14" s="11" t="s">
        <v>280</v>
      </c>
      <c r="C14" s="11" t="str">
        <f t="shared" si="1"/>
        <v>ZTO </v>
      </c>
      <c r="D14" s="15" t="s">
        <v>230</v>
      </c>
      <c r="E14" s="15">
        <v>2</v>
      </c>
      <c r="F14" s="23" t="s">
        <v>281</v>
      </c>
      <c r="G14" s="15" t="s">
        <v>283</v>
      </c>
      <c r="H14" s="15" t="s">
        <v>277</v>
      </c>
      <c r="I14" s="15" t="s">
        <v>264</v>
      </c>
      <c r="J14" s="15" t="s">
        <v>265</v>
      </c>
      <c r="K14" s="15">
        <v>1</v>
      </c>
      <c r="L14" s="15">
        <v>500</v>
      </c>
      <c r="M14" s="15" t="s">
        <v>266</v>
      </c>
      <c r="N14" s="15" t="s">
        <v>267</v>
      </c>
      <c r="O14" s="15" t="s">
        <v>268</v>
      </c>
      <c r="P14" s="15" t="s">
        <v>268</v>
      </c>
      <c r="Q14" s="15" t="s">
        <v>269</v>
      </c>
      <c r="R14" s="15" t="s">
        <v>270</v>
      </c>
      <c r="S14" s="15">
        <v>1500</v>
      </c>
      <c r="T14" s="31" t="s">
        <v>271</v>
      </c>
      <c r="U14" s="32" t="s">
        <v>272</v>
      </c>
      <c r="V14" s="32" t="s">
        <v>272</v>
      </c>
    </row>
    <row r="15" ht="18" hidden="1" customHeight="1" spans="1:22">
      <c r="A15" s="11" t="s">
        <v>260</v>
      </c>
      <c r="B15" s="11" t="s">
        <v>280</v>
      </c>
      <c r="C15" s="11" t="str">
        <f t="shared" si="1"/>
        <v>GUOO </v>
      </c>
      <c r="D15" s="15" t="s">
        <v>78</v>
      </c>
      <c r="E15" s="15">
        <v>2</v>
      </c>
      <c r="F15" s="23" t="s">
        <v>281</v>
      </c>
      <c r="G15" s="15" t="s">
        <v>283</v>
      </c>
      <c r="H15" s="15" t="s">
        <v>277</v>
      </c>
      <c r="I15" s="15" t="s">
        <v>277</v>
      </c>
      <c r="J15" s="15" t="s">
        <v>265</v>
      </c>
      <c r="K15" s="15">
        <v>1</v>
      </c>
      <c r="L15" s="15">
        <v>500</v>
      </c>
      <c r="M15" s="15" t="s">
        <v>266</v>
      </c>
      <c r="N15" s="15" t="s">
        <v>267</v>
      </c>
      <c r="O15" s="15" t="s">
        <v>268</v>
      </c>
      <c r="P15" s="15" t="s">
        <v>268</v>
      </c>
      <c r="Q15" s="15" t="s">
        <v>269</v>
      </c>
      <c r="R15" s="15" t="s">
        <v>270</v>
      </c>
      <c r="S15" s="15">
        <v>1500</v>
      </c>
      <c r="T15" s="31" t="s">
        <v>271</v>
      </c>
      <c r="U15" s="32" t="s">
        <v>272</v>
      </c>
      <c r="V15" s="32" t="s">
        <v>272</v>
      </c>
    </row>
    <row r="16" ht="18" hidden="1" customHeight="1" spans="1:22">
      <c r="A16" s="11" t="s">
        <v>260</v>
      </c>
      <c r="B16" s="11" t="s">
        <v>280</v>
      </c>
      <c r="C16" s="11" t="str">
        <f t="shared" si="1"/>
        <v>OYX </v>
      </c>
      <c r="D16" s="15" t="s">
        <v>117</v>
      </c>
      <c r="E16" s="15">
        <v>4</v>
      </c>
      <c r="F16" s="23" t="s">
        <v>281</v>
      </c>
      <c r="G16" s="15" t="s">
        <v>284</v>
      </c>
      <c r="H16" s="15" t="s">
        <v>277</v>
      </c>
      <c r="I16" s="15" t="s">
        <v>277</v>
      </c>
      <c r="J16" s="15" t="s">
        <v>265</v>
      </c>
      <c r="K16" s="15">
        <v>1</v>
      </c>
      <c r="L16" s="15">
        <v>500</v>
      </c>
      <c r="M16" s="15" t="s">
        <v>266</v>
      </c>
      <c r="N16" s="15" t="s">
        <v>267</v>
      </c>
      <c r="O16" s="15" t="s">
        <v>268</v>
      </c>
      <c r="P16" s="15" t="s">
        <v>268</v>
      </c>
      <c r="Q16" s="15" t="s">
        <v>269</v>
      </c>
      <c r="R16" s="15" t="s">
        <v>270</v>
      </c>
      <c r="S16" s="15">
        <v>1500</v>
      </c>
      <c r="T16" s="31" t="s">
        <v>271</v>
      </c>
      <c r="U16" s="32" t="s">
        <v>272</v>
      </c>
      <c r="V16" s="32" t="s">
        <v>272</v>
      </c>
    </row>
    <row r="17" ht="18" hidden="1" customHeight="1" spans="1:22">
      <c r="A17" s="11" t="s">
        <v>260</v>
      </c>
      <c r="B17" s="11" t="s">
        <v>280</v>
      </c>
      <c r="C17" s="11" t="str">
        <f t="shared" si="1"/>
        <v>ABT </v>
      </c>
      <c r="D17" s="15" t="s">
        <v>24</v>
      </c>
      <c r="E17" s="15">
        <v>4</v>
      </c>
      <c r="F17" s="23" t="s">
        <v>281</v>
      </c>
      <c r="G17" s="15" t="s">
        <v>284</v>
      </c>
      <c r="H17" s="15" t="s">
        <v>277</v>
      </c>
      <c r="I17" s="15" t="s">
        <v>277</v>
      </c>
      <c r="J17" s="15" t="s">
        <v>265</v>
      </c>
      <c r="K17" s="15">
        <v>1</v>
      </c>
      <c r="L17" s="15">
        <v>500</v>
      </c>
      <c r="M17" s="15" t="s">
        <v>266</v>
      </c>
      <c r="N17" s="15" t="s">
        <v>267</v>
      </c>
      <c r="O17" s="15" t="s">
        <v>268</v>
      </c>
      <c r="P17" s="15" t="s">
        <v>268</v>
      </c>
      <c r="Q17" s="15" t="s">
        <v>269</v>
      </c>
      <c r="R17" s="15" t="s">
        <v>270</v>
      </c>
      <c r="S17" s="15">
        <v>1500</v>
      </c>
      <c r="T17" s="31" t="s">
        <v>271</v>
      </c>
      <c r="U17" s="32" t="s">
        <v>272</v>
      </c>
      <c r="V17" s="32" t="s">
        <v>272</v>
      </c>
    </row>
    <row r="18" ht="18" hidden="1" customHeight="1" spans="1:22">
      <c r="A18" s="11" t="s">
        <v>260</v>
      </c>
      <c r="B18" s="11" t="s">
        <v>280</v>
      </c>
      <c r="C18" s="11" t="str">
        <f t="shared" si="1"/>
        <v>Xingyuan </v>
      </c>
      <c r="D18" s="15" t="s">
        <v>215</v>
      </c>
      <c r="E18" s="15">
        <v>4</v>
      </c>
      <c r="F18" s="23" t="s">
        <v>281</v>
      </c>
      <c r="G18" s="15" t="s">
        <v>284</v>
      </c>
      <c r="H18" s="15" t="s">
        <v>277</v>
      </c>
      <c r="I18" s="15" t="s">
        <v>277</v>
      </c>
      <c r="J18" s="15" t="s">
        <v>265</v>
      </c>
      <c r="K18" s="15">
        <v>1</v>
      </c>
      <c r="L18" s="15">
        <v>500</v>
      </c>
      <c r="M18" s="15" t="s">
        <v>266</v>
      </c>
      <c r="N18" s="15" t="s">
        <v>267</v>
      </c>
      <c r="O18" s="15" t="s">
        <v>268</v>
      </c>
      <c r="P18" s="15" t="s">
        <v>268</v>
      </c>
      <c r="Q18" s="15" t="s">
        <v>269</v>
      </c>
      <c r="R18" s="15" t="s">
        <v>270</v>
      </c>
      <c r="S18" s="15">
        <v>1500</v>
      </c>
      <c r="T18" s="31" t="s">
        <v>271</v>
      </c>
      <c r="U18" s="32" t="s">
        <v>272</v>
      </c>
      <c r="V18" s="32" t="s">
        <v>272</v>
      </c>
    </row>
    <row r="19" ht="18" hidden="1" customHeight="1" spans="1:22">
      <c r="A19" s="11" t="s">
        <v>260</v>
      </c>
      <c r="B19" s="11" t="s">
        <v>280</v>
      </c>
      <c r="C19" s="11" t="str">
        <f t="shared" si="1"/>
        <v>ATC </v>
      </c>
      <c r="D19" s="15" t="s">
        <v>36</v>
      </c>
      <c r="E19" s="15">
        <v>7</v>
      </c>
      <c r="F19" s="23" t="s">
        <v>281</v>
      </c>
      <c r="G19" s="15" t="s">
        <v>285</v>
      </c>
      <c r="H19" s="15" t="s">
        <v>277</v>
      </c>
      <c r="I19" s="15" t="s">
        <v>264</v>
      </c>
      <c r="J19" s="15" t="s">
        <v>265</v>
      </c>
      <c r="K19" s="15">
        <v>1</v>
      </c>
      <c r="L19" s="15">
        <v>500</v>
      </c>
      <c r="M19" s="15" t="s">
        <v>266</v>
      </c>
      <c r="N19" s="15" t="s">
        <v>267</v>
      </c>
      <c r="O19" s="15" t="s">
        <v>268</v>
      </c>
      <c r="P19" s="15" t="s">
        <v>268</v>
      </c>
      <c r="Q19" s="15" t="s">
        <v>269</v>
      </c>
      <c r="R19" s="15" t="s">
        <v>270</v>
      </c>
      <c r="S19" s="15">
        <v>1500</v>
      </c>
      <c r="T19" s="31" t="s">
        <v>271</v>
      </c>
      <c r="U19" s="32" t="s">
        <v>272</v>
      </c>
      <c r="V19" s="32" t="s">
        <v>272</v>
      </c>
    </row>
    <row r="20" ht="18" customHeight="1" spans="1:22">
      <c r="A20" s="11" t="s">
        <v>260</v>
      </c>
      <c r="B20" s="11" t="s">
        <v>280</v>
      </c>
      <c r="C20" s="11" t="str">
        <f t="shared" si="1"/>
        <v>RETS </v>
      </c>
      <c r="D20" s="15" t="s">
        <v>135</v>
      </c>
      <c r="E20" s="15">
        <v>8</v>
      </c>
      <c r="F20" s="23" t="s">
        <v>281</v>
      </c>
      <c r="G20" s="15" t="s">
        <v>283</v>
      </c>
      <c r="H20" s="15" t="s">
        <v>277</v>
      </c>
      <c r="I20" s="15" t="s">
        <v>264</v>
      </c>
      <c r="J20" s="15" t="s">
        <v>265</v>
      </c>
      <c r="K20" s="15">
        <v>1</v>
      </c>
      <c r="L20" s="15">
        <v>500</v>
      </c>
      <c r="M20" s="15" t="s">
        <v>266</v>
      </c>
      <c r="N20" s="15" t="s">
        <v>267</v>
      </c>
      <c r="O20" s="15" t="s">
        <v>268</v>
      </c>
      <c r="P20" s="15" t="s">
        <v>268</v>
      </c>
      <c r="Q20" s="15" t="s">
        <v>269</v>
      </c>
      <c r="R20" s="15" t="s">
        <v>270</v>
      </c>
      <c r="S20" s="15">
        <v>1500</v>
      </c>
      <c r="T20" s="31" t="s">
        <v>271</v>
      </c>
      <c r="U20" s="32" t="s">
        <v>272</v>
      </c>
      <c r="V20" s="32" t="s">
        <v>272</v>
      </c>
    </row>
    <row r="21" ht="18" hidden="1" customHeight="1" spans="1:22">
      <c r="A21" s="11" t="s">
        <v>260</v>
      </c>
      <c r="B21" s="11" t="s">
        <v>280</v>
      </c>
      <c r="C21" s="11" t="str">
        <f t="shared" si="1"/>
        <v>CEL </v>
      </c>
      <c r="D21" s="15" t="s">
        <v>54</v>
      </c>
      <c r="E21" s="15">
        <v>9</v>
      </c>
      <c r="F21" s="23" t="s">
        <v>281</v>
      </c>
      <c r="G21" s="15" t="s">
        <v>284</v>
      </c>
      <c r="H21" s="15" t="s">
        <v>277</v>
      </c>
      <c r="I21" s="15" t="s">
        <v>277</v>
      </c>
      <c r="J21" s="15" t="s">
        <v>265</v>
      </c>
      <c r="K21" s="15">
        <v>1</v>
      </c>
      <c r="L21" s="15">
        <v>500</v>
      </c>
      <c r="M21" s="15" t="s">
        <v>266</v>
      </c>
      <c r="N21" s="15" t="s">
        <v>267</v>
      </c>
      <c r="O21" s="15" t="s">
        <v>268</v>
      </c>
      <c r="P21" s="15" t="s">
        <v>268</v>
      </c>
      <c r="Q21" s="15" t="s">
        <v>269</v>
      </c>
      <c r="R21" s="15" t="s">
        <v>270</v>
      </c>
      <c r="S21" s="15">
        <v>1500</v>
      </c>
      <c r="T21" s="31" t="s">
        <v>271</v>
      </c>
      <c r="U21" s="32" t="s">
        <v>272</v>
      </c>
      <c r="V21" s="32" t="s">
        <v>272</v>
      </c>
    </row>
    <row r="22" ht="18" hidden="1" customHeight="1" spans="1:22">
      <c r="A22" s="11" t="s">
        <v>260</v>
      </c>
      <c r="B22" s="11" t="s">
        <v>280</v>
      </c>
      <c r="C22" s="11" t="str">
        <f t="shared" si="1"/>
        <v>Tanais </v>
      </c>
      <c r="D22" s="15" t="s">
        <v>150</v>
      </c>
      <c r="E22" s="15">
        <v>10</v>
      </c>
      <c r="F22" s="23" t="s">
        <v>281</v>
      </c>
      <c r="G22" s="15" t="s">
        <v>286</v>
      </c>
      <c r="H22" s="15" t="s">
        <v>264</v>
      </c>
      <c r="I22" s="15" t="s">
        <v>264</v>
      </c>
      <c r="J22" s="15" t="s">
        <v>265</v>
      </c>
      <c r="K22" s="15">
        <v>1</v>
      </c>
      <c r="L22" s="15">
        <v>500</v>
      </c>
      <c r="M22" s="15" t="s">
        <v>266</v>
      </c>
      <c r="N22" s="15" t="s">
        <v>267</v>
      </c>
      <c r="O22" s="15" t="s">
        <v>268</v>
      </c>
      <c r="P22" s="15" t="s">
        <v>268</v>
      </c>
      <c r="Q22" s="15" t="s">
        <v>269</v>
      </c>
      <c r="R22" s="15" t="s">
        <v>270</v>
      </c>
      <c r="S22" s="15">
        <v>1500</v>
      </c>
      <c r="T22" s="31" t="s">
        <v>271</v>
      </c>
      <c r="U22" s="32" t="s">
        <v>272</v>
      </c>
      <c r="V22" s="32" t="s">
        <v>272</v>
      </c>
    </row>
    <row r="23" ht="18" hidden="1" customHeight="1" spans="1:22">
      <c r="A23" s="16" t="s">
        <v>278</v>
      </c>
      <c r="B23" s="16" t="s">
        <v>278</v>
      </c>
      <c r="C23" s="16" t="s">
        <v>278</v>
      </c>
      <c r="D23" s="16" t="s">
        <v>278</v>
      </c>
      <c r="E23" s="16" t="s">
        <v>279</v>
      </c>
      <c r="F23" s="16" t="s">
        <v>278</v>
      </c>
      <c r="G23" s="16" t="s">
        <v>278</v>
      </c>
      <c r="H23" s="16" t="s">
        <v>278</v>
      </c>
      <c r="I23" s="16" t="s">
        <v>278</v>
      </c>
      <c r="J23" s="16" t="s">
        <v>278</v>
      </c>
      <c r="K23" s="16" t="s">
        <v>278</v>
      </c>
      <c r="L23" s="16" t="s">
        <v>278</v>
      </c>
      <c r="M23" s="16"/>
      <c r="N23" s="16"/>
      <c r="O23" s="16"/>
      <c r="P23" s="16"/>
      <c r="Q23" s="16" t="s">
        <v>278</v>
      </c>
      <c r="R23" s="16" t="s">
        <v>278</v>
      </c>
      <c r="S23" s="16" t="s">
        <v>278</v>
      </c>
      <c r="T23" s="16" t="s">
        <v>278</v>
      </c>
      <c r="U23" s="16" t="s">
        <v>278</v>
      </c>
      <c r="V23" s="16" t="s">
        <v>278</v>
      </c>
    </row>
    <row r="24" ht="18" hidden="1" customHeight="1" spans="1:22">
      <c r="A24" s="11" t="s">
        <v>260</v>
      </c>
      <c r="B24" s="11" t="s">
        <v>287</v>
      </c>
      <c r="C24" s="11" t="str">
        <f t="shared" ref="C24:C33" si="2">LEFT(D24,SEARCH(" ",D24))</f>
        <v>GUOO </v>
      </c>
      <c r="D24" s="15" t="s">
        <v>69</v>
      </c>
      <c r="E24" s="15">
        <v>1</v>
      </c>
      <c r="F24" s="23" t="s">
        <v>288</v>
      </c>
      <c r="G24" s="24" t="s">
        <v>289</v>
      </c>
      <c r="H24" s="15" t="s">
        <v>277</v>
      </c>
      <c r="I24" s="15" t="s">
        <v>277</v>
      </c>
      <c r="J24" s="15" t="s">
        <v>265</v>
      </c>
      <c r="K24" s="15">
        <v>1</v>
      </c>
      <c r="L24" s="15">
        <v>500</v>
      </c>
      <c r="M24" s="15" t="s">
        <v>266</v>
      </c>
      <c r="N24" s="15" t="s">
        <v>267</v>
      </c>
      <c r="O24" s="15" t="s">
        <v>268</v>
      </c>
      <c r="P24" s="15" t="s">
        <v>268</v>
      </c>
      <c r="Q24" s="15" t="s">
        <v>269</v>
      </c>
      <c r="R24" s="15" t="s">
        <v>270</v>
      </c>
      <c r="S24" s="15">
        <v>1500</v>
      </c>
      <c r="T24" s="31" t="s">
        <v>271</v>
      </c>
      <c r="U24" s="32" t="s">
        <v>272</v>
      </c>
      <c r="V24" s="32" t="s">
        <v>272</v>
      </c>
    </row>
    <row r="25" ht="18" hidden="1" customHeight="1" spans="1:22">
      <c r="A25" s="11" t="s">
        <v>260</v>
      </c>
      <c r="B25" s="11" t="s">
        <v>287</v>
      </c>
      <c r="C25" s="11" t="str">
        <f t="shared" si="2"/>
        <v>ZTO </v>
      </c>
      <c r="D25" s="15" t="s">
        <v>228</v>
      </c>
      <c r="E25" s="15">
        <v>2</v>
      </c>
      <c r="F25" s="23" t="s">
        <v>288</v>
      </c>
      <c r="G25" s="15" t="s">
        <v>290</v>
      </c>
      <c r="H25" s="15" t="s">
        <v>277</v>
      </c>
      <c r="I25" s="15" t="s">
        <v>264</v>
      </c>
      <c r="J25" s="15" t="s">
        <v>265</v>
      </c>
      <c r="K25" s="15">
        <v>1</v>
      </c>
      <c r="L25" s="15">
        <v>500</v>
      </c>
      <c r="M25" s="15" t="s">
        <v>266</v>
      </c>
      <c r="N25" s="15" t="s">
        <v>267</v>
      </c>
      <c r="O25" s="15" t="s">
        <v>268</v>
      </c>
      <c r="P25" s="15" t="s">
        <v>268</v>
      </c>
      <c r="Q25" s="15" t="s">
        <v>269</v>
      </c>
      <c r="R25" s="15" t="s">
        <v>270</v>
      </c>
      <c r="S25" s="15">
        <v>1500</v>
      </c>
      <c r="T25" s="31" t="s">
        <v>271</v>
      </c>
      <c r="U25" s="32" t="s">
        <v>272</v>
      </c>
      <c r="V25" s="32" t="s">
        <v>272</v>
      </c>
    </row>
    <row r="26" ht="18" hidden="1" customHeight="1" spans="1:22">
      <c r="A26" s="11" t="s">
        <v>260</v>
      </c>
      <c r="B26" s="11" t="s">
        <v>287</v>
      </c>
      <c r="C26" s="11" t="str">
        <f t="shared" si="2"/>
        <v>Ural </v>
      </c>
      <c r="D26" s="15" t="s">
        <v>185</v>
      </c>
      <c r="E26" s="15">
        <v>2</v>
      </c>
      <c r="F26" s="23" t="s">
        <v>288</v>
      </c>
      <c r="G26" s="24" t="s">
        <v>290</v>
      </c>
      <c r="H26" s="15" t="s">
        <v>277</v>
      </c>
      <c r="I26" s="15" t="s">
        <v>277</v>
      </c>
      <c r="J26" s="15" t="s">
        <v>265</v>
      </c>
      <c r="K26" s="15">
        <v>1</v>
      </c>
      <c r="L26" s="15">
        <v>500</v>
      </c>
      <c r="M26" s="15" t="s">
        <v>266</v>
      </c>
      <c r="N26" s="15" t="s">
        <v>267</v>
      </c>
      <c r="O26" s="15" t="s">
        <v>268</v>
      </c>
      <c r="P26" s="15" t="s">
        <v>268</v>
      </c>
      <c r="Q26" s="15" t="s">
        <v>269</v>
      </c>
      <c r="R26" s="15" t="s">
        <v>270</v>
      </c>
      <c r="S26" s="15">
        <v>1500</v>
      </c>
      <c r="T26" s="31" t="s">
        <v>271</v>
      </c>
      <c r="U26" s="32" t="s">
        <v>272</v>
      </c>
      <c r="V26" s="32" t="s">
        <v>272</v>
      </c>
    </row>
    <row r="27" ht="18" customHeight="1" spans="1:22">
      <c r="A27" s="11" t="s">
        <v>260</v>
      </c>
      <c r="B27" s="11" t="s">
        <v>287</v>
      </c>
      <c r="C27" s="11" t="str">
        <f t="shared" si="2"/>
        <v>RETS </v>
      </c>
      <c r="D27" s="15" t="s">
        <v>123</v>
      </c>
      <c r="E27" s="15">
        <v>2</v>
      </c>
      <c r="F27" s="23" t="s">
        <v>288</v>
      </c>
      <c r="G27" s="15" t="s">
        <v>290</v>
      </c>
      <c r="H27" s="15" t="s">
        <v>277</v>
      </c>
      <c r="I27" s="15" t="s">
        <v>277</v>
      </c>
      <c r="J27" s="15" t="s">
        <v>265</v>
      </c>
      <c r="K27" s="15">
        <v>1</v>
      </c>
      <c r="L27" s="15">
        <v>500</v>
      </c>
      <c r="M27" s="15" t="s">
        <v>266</v>
      </c>
      <c r="N27" s="15" t="s">
        <v>267</v>
      </c>
      <c r="O27" s="15" t="s">
        <v>268</v>
      </c>
      <c r="P27" s="15" t="s">
        <v>268</v>
      </c>
      <c r="Q27" s="15" t="s">
        <v>269</v>
      </c>
      <c r="R27" s="15" t="s">
        <v>270</v>
      </c>
      <c r="S27" s="15">
        <v>1500</v>
      </c>
      <c r="T27" s="31" t="s">
        <v>271</v>
      </c>
      <c r="U27" s="32" t="s">
        <v>272</v>
      </c>
      <c r="V27" s="32" t="s">
        <v>272</v>
      </c>
    </row>
    <row r="28" ht="18" hidden="1" customHeight="1" spans="1:22">
      <c r="A28" s="11" t="s">
        <v>260</v>
      </c>
      <c r="B28" s="11" t="s">
        <v>287</v>
      </c>
      <c r="C28" s="11" t="str">
        <f t="shared" si="2"/>
        <v>OYX </v>
      </c>
      <c r="D28" s="15" t="s">
        <v>105</v>
      </c>
      <c r="E28" s="15">
        <v>5</v>
      </c>
      <c r="F28" s="23" t="s">
        <v>288</v>
      </c>
      <c r="G28" s="15" t="s">
        <v>291</v>
      </c>
      <c r="H28" s="15" t="s">
        <v>277</v>
      </c>
      <c r="I28" s="15" t="s">
        <v>277</v>
      </c>
      <c r="J28" s="15" t="s">
        <v>265</v>
      </c>
      <c r="K28" s="15">
        <v>1</v>
      </c>
      <c r="L28" s="15">
        <v>500</v>
      </c>
      <c r="M28" s="15" t="s">
        <v>266</v>
      </c>
      <c r="N28" s="15" t="s">
        <v>267</v>
      </c>
      <c r="O28" s="15" t="s">
        <v>268</v>
      </c>
      <c r="P28" s="15" t="s">
        <v>268</v>
      </c>
      <c r="Q28" s="15" t="s">
        <v>269</v>
      </c>
      <c r="R28" s="15" t="s">
        <v>270</v>
      </c>
      <c r="S28" s="15">
        <v>1500</v>
      </c>
      <c r="T28" s="31" t="s">
        <v>271</v>
      </c>
      <c r="U28" s="32" t="s">
        <v>272</v>
      </c>
      <c r="V28" s="32" t="s">
        <v>272</v>
      </c>
    </row>
    <row r="29" ht="18" hidden="1" customHeight="1" spans="1:22">
      <c r="A29" s="11" t="s">
        <v>260</v>
      </c>
      <c r="B29" s="11" t="s">
        <v>287</v>
      </c>
      <c r="C29" s="11" t="str">
        <f t="shared" si="2"/>
        <v>ABT </v>
      </c>
      <c r="D29" s="15" t="s">
        <v>12</v>
      </c>
      <c r="E29" s="15">
        <v>5</v>
      </c>
      <c r="F29" s="23" t="s">
        <v>288</v>
      </c>
      <c r="G29" s="15" t="s">
        <v>291</v>
      </c>
      <c r="H29" s="15" t="s">
        <v>277</v>
      </c>
      <c r="I29" s="15" t="s">
        <v>277</v>
      </c>
      <c r="J29" s="15" t="s">
        <v>265</v>
      </c>
      <c r="K29" s="15">
        <v>1</v>
      </c>
      <c r="L29" s="15">
        <v>500</v>
      </c>
      <c r="M29" s="15" t="s">
        <v>266</v>
      </c>
      <c r="N29" s="15" t="s">
        <v>267</v>
      </c>
      <c r="O29" s="15" t="s">
        <v>268</v>
      </c>
      <c r="P29" s="15" t="s">
        <v>268</v>
      </c>
      <c r="Q29" s="15" t="s">
        <v>269</v>
      </c>
      <c r="R29" s="15" t="s">
        <v>270</v>
      </c>
      <c r="S29" s="15">
        <v>1500</v>
      </c>
      <c r="T29" s="31" t="s">
        <v>271</v>
      </c>
      <c r="U29" s="32" t="s">
        <v>272</v>
      </c>
      <c r="V29" s="32" t="s">
        <v>272</v>
      </c>
    </row>
    <row r="30" ht="18" hidden="1" customHeight="1" spans="1:22">
      <c r="A30" s="11" t="s">
        <v>260</v>
      </c>
      <c r="B30" s="11" t="s">
        <v>287</v>
      </c>
      <c r="C30" s="11" t="str">
        <f t="shared" si="2"/>
        <v>Xingyuan </v>
      </c>
      <c r="D30" s="15" t="s">
        <v>203</v>
      </c>
      <c r="E30" s="15">
        <v>5</v>
      </c>
      <c r="F30" s="23" t="s">
        <v>288</v>
      </c>
      <c r="G30" s="15" t="s">
        <v>291</v>
      </c>
      <c r="H30" s="15" t="s">
        <v>277</v>
      </c>
      <c r="I30" s="15" t="s">
        <v>277</v>
      </c>
      <c r="J30" s="15" t="s">
        <v>265</v>
      </c>
      <c r="K30" s="15">
        <v>1</v>
      </c>
      <c r="L30" s="15">
        <v>500</v>
      </c>
      <c r="M30" s="15" t="s">
        <v>266</v>
      </c>
      <c r="N30" s="15" t="s">
        <v>267</v>
      </c>
      <c r="O30" s="15" t="s">
        <v>268</v>
      </c>
      <c r="P30" s="15" t="s">
        <v>268</v>
      </c>
      <c r="Q30" s="15" t="s">
        <v>269</v>
      </c>
      <c r="R30" s="15" t="s">
        <v>270</v>
      </c>
      <c r="S30" s="15">
        <v>1500</v>
      </c>
      <c r="T30" s="31" t="s">
        <v>271</v>
      </c>
      <c r="U30" s="32" t="s">
        <v>272</v>
      </c>
      <c r="V30" s="32" t="s">
        <v>272</v>
      </c>
    </row>
    <row r="31" ht="18" hidden="1" customHeight="1" spans="1:22">
      <c r="A31" s="11" t="s">
        <v>260</v>
      </c>
      <c r="B31" s="11" t="s">
        <v>287</v>
      </c>
      <c r="C31" s="11" t="str">
        <f t="shared" si="2"/>
        <v>CEL </v>
      </c>
      <c r="D31" s="15" t="s">
        <v>42</v>
      </c>
      <c r="E31" s="15">
        <v>5</v>
      </c>
      <c r="F31" s="23" t="s">
        <v>288</v>
      </c>
      <c r="G31" s="15" t="s">
        <v>291</v>
      </c>
      <c r="H31" s="15" t="s">
        <v>277</v>
      </c>
      <c r="I31" s="15" t="s">
        <v>277</v>
      </c>
      <c r="J31" s="15" t="s">
        <v>265</v>
      </c>
      <c r="K31" s="15">
        <v>1</v>
      </c>
      <c r="L31" s="15">
        <v>500</v>
      </c>
      <c r="M31" s="15" t="s">
        <v>266</v>
      </c>
      <c r="N31" s="15" t="s">
        <v>267</v>
      </c>
      <c r="O31" s="15" t="s">
        <v>268</v>
      </c>
      <c r="P31" s="15" t="s">
        <v>268</v>
      </c>
      <c r="Q31" s="15" t="s">
        <v>269</v>
      </c>
      <c r="R31" s="15" t="s">
        <v>270</v>
      </c>
      <c r="S31" s="15">
        <v>1500</v>
      </c>
      <c r="T31" s="31" t="s">
        <v>271</v>
      </c>
      <c r="U31" s="32" t="s">
        <v>272</v>
      </c>
      <c r="V31" s="32" t="s">
        <v>272</v>
      </c>
    </row>
    <row r="32" ht="18" hidden="1" customHeight="1" spans="1:22">
      <c r="A32" s="11" t="s">
        <v>260</v>
      </c>
      <c r="B32" s="11" t="s">
        <v>287</v>
      </c>
      <c r="C32" s="11" t="str">
        <f t="shared" si="2"/>
        <v>ATC </v>
      </c>
      <c r="D32" s="15" t="s">
        <v>30</v>
      </c>
      <c r="E32" s="15">
        <v>9</v>
      </c>
      <c r="F32" s="23" t="s">
        <v>288</v>
      </c>
      <c r="G32" s="15" t="s">
        <v>292</v>
      </c>
      <c r="H32" s="15" t="s">
        <v>277</v>
      </c>
      <c r="I32" s="15" t="s">
        <v>264</v>
      </c>
      <c r="J32" s="15" t="s">
        <v>265</v>
      </c>
      <c r="K32" s="15">
        <v>1</v>
      </c>
      <c r="L32" s="15">
        <v>500</v>
      </c>
      <c r="M32" s="15" t="s">
        <v>266</v>
      </c>
      <c r="N32" s="15" t="s">
        <v>267</v>
      </c>
      <c r="O32" s="15" t="s">
        <v>268</v>
      </c>
      <c r="P32" s="15" t="s">
        <v>268</v>
      </c>
      <c r="Q32" s="15" t="s">
        <v>269</v>
      </c>
      <c r="R32" s="15" t="s">
        <v>270</v>
      </c>
      <c r="S32" s="15">
        <v>1500</v>
      </c>
      <c r="T32" s="31" t="s">
        <v>271</v>
      </c>
      <c r="U32" s="32" t="s">
        <v>272</v>
      </c>
      <c r="V32" s="32" t="s">
        <v>272</v>
      </c>
    </row>
    <row r="33" ht="18" hidden="1" customHeight="1" spans="1:22">
      <c r="A33" s="11" t="s">
        <v>260</v>
      </c>
      <c r="B33" s="11" t="s">
        <v>287</v>
      </c>
      <c r="C33" s="11" t="str">
        <f t="shared" si="2"/>
        <v>Tanais </v>
      </c>
      <c r="D33" s="15" t="s">
        <v>141</v>
      </c>
      <c r="E33" s="15">
        <v>9</v>
      </c>
      <c r="F33" s="23" t="s">
        <v>288</v>
      </c>
      <c r="G33" s="15" t="s">
        <v>293</v>
      </c>
      <c r="H33" s="15" t="s">
        <v>264</v>
      </c>
      <c r="I33" s="15" t="s">
        <v>264</v>
      </c>
      <c r="J33" s="15" t="s">
        <v>265</v>
      </c>
      <c r="K33" s="15">
        <v>1</v>
      </c>
      <c r="L33" s="15">
        <v>500</v>
      </c>
      <c r="M33" s="15" t="s">
        <v>266</v>
      </c>
      <c r="N33" s="15" t="s">
        <v>267</v>
      </c>
      <c r="O33" s="15" t="s">
        <v>268</v>
      </c>
      <c r="P33" s="15" t="s">
        <v>268</v>
      </c>
      <c r="Q33" s="15" t="s">
        <v>269</v>
      </c>
      <c r="R33" s="15" t="s">
        <v>270</v>
      </c>
      <c r="S33" s="15">
        <v>1500</v>
      </c>
      <c r="T33" s="31" t="s">
        <v>271</v>
      </c>
      <c r="U33" s="32" t="s">
        <v>272</v>
      </c>
      <c r="V33" s="32" t="s">
        <v>272</v>
      </c>
    </row>
    <row r="34" ht="18" hidden="1" customHeight="1" spans="1:22">
      <c r="A34" s="16" t="s">
        <v>278</v>
      </c>
      <c r="B34" s="16" t="s">
        <v>278</v>
      </c>
      <c r="C34" s="16" t="s">
        <v>278</v>
      </c>
      <c r="D34" s="16" t="s">
        <v>278</v>
      </c>
      <c r="E34" s="16" t="s">
        <v>279</v>
      </c>
      <c r="F34" s="16" t="s">
        <v>278</v>
      </c>
      <c r="G34" s="16" t="s">
        <v>278</v>
      </c>
      <c r="H34" s="16" t="s">
        <v>278</v>
      </c>
      <c r="I34" s="16" t="s">
        <v>278</v>
      </c>
      <c r="J34" s="16" t="s">
        <v>278</v>
      </c>
      <c r="K34" s="16" t="s">
        <v>278</v>
      </c>
      <c r="L34" s="16" t="s">
        <v>278</v>
      </c>
      <c r="M34" s="16"/>
      <c r="N34" s="16"/>
      <c r="O34" s="16"/>
      <c r="P34" s="16"/>
      <c r="Q34" s="16" t="s">
        <v>278</v>
      </c>
      <c r="R34" s="16" t="s">
        <v>278</v>
      </c>
      <c r="S34" s="16" t="s">
        <v>278</v>
      </c>
      <c r="T34" s="16" t="s">
        <v>278</v>
      </c>
      <c r="U34" s="16" t="s">
        <v>278</v>
      </c>
      <c r="V34" s="16" t="s">
        <v>278</v>
      </c>
    </row>
    <row r="35" ht="18" hidden="1" customHeight="1" spans="1:22">
      <c r="A35" s="11" t="s">
        <v>294</v>
      </c>
      <c r="B35" s="11" t="s">
        <v>261</v>
      </c>
      <c r="C35" s="11" t="str">
        <f>LEFT(D35,SEARCH(" ",D35))</f>
        <v>ZTO </v>
      </c>
      <c r="D35" s="15" t="s">
        <v>224</v>
      </c>
      <c r="E35" s="15">
        <v>1</v>
      </c>
      <c r="F35" s="23" t="s">
        <v>262</v>
      </c>
      <c r="G35" s="15" t="s">
        <v>295</v>
      </c>
      <c r="H35" s="15" t="s">
        <v>264</v>
      </c>
      <c r="I35" s="15" t="s">
        <v>264</v>
      </c>
      <c r="J35" s="15" t="s">
        <v>296</v>
      </c>
      <c r="K35" s="15">
        <v>501</v>
      </c>
      <c r="L35" s="26">
        <v>30000</v>
      </c>
      <c r="M35" s="15" t="s">
        <v>266</v>
      </c>
      <c r="N35" s="15" t="s">
        <v>267</v>
      </c>
      <c r="O35" s="15" t="s">
        <v>268</v>
      </c>
      <c r="P35" s="15" t="s">
        <v>268</v>
      </c>
      <c r="Q35" s="15" t="s">
        <v>269</v>
      </c>
      <c r="R35" s="15" t="s">
        <v>270</v>
      </c>
      <c r="S35" s="15">
        <v>1500</v>
      </c>
      <c r="T35" s="31" t="s">
        <v>271</v>
      </c>
      <c r="U35" s="32" t="s">
        <v>272</v>
      </c>
      <c r="V35" s="32" t="s">
        <v>272</v>
      </c>
    </row>
    <row r="36" ht="18" hidden="1" customHeight="1" spans="1:22">
      <c r="A36" s="11" t="s">
        <v>294</v>
      </c>
      <c r="B36" s="11" t="s">
        <v>261</v>
      </c>
      <c r="C36" s="11" t="str">
        <f>LEFT(D36,SEARCH(" ",D36))</f>
        <v>Ural </v>
      </c>
      <c r="D36" s="15" t="s">
        <v>190</v>
      </c>
      <c r="E36" s="15">
        <v>1</v>
      </c>
      <c r="F36" s="23" t="s">
        <v>262</v>
      </c>
      <c r="G36" s="15" t="s">
        <v>295</v>
      </c>
      <c r="H36" s="15" t="s">
        <v>264</v>
      </c>
      <c r="I36" s="15" t="s">
        <v>264</v>
      </c>
      <c r="J36" s="15" t="s">
        <v>296</v>
      </c>
      <c r="K36" s="15">
        <v>501</v>
      </c>
      <c r="L36" s="26">
        <v>30000</v>
      </c>
      <c r="M36" s="15" t="s">
        <v>266</v>
      </c>
      <c r="N36" s="15" t="s">
        <v>267</v>
      </c>
      <c r="O36" s="15" t="s">
        <v>268</v>
      </c>
      <c r="P36" s="15" t="s">
        <v>268</v>
      </c>
      <c r="Q36" s="15" t="s">
        <v>269</v>
      </c>
      <c r="R36" s="15" t="s">
        <v>270</v>
      </c>
      <c r="S36" s="15">
        <v>1500</v>
      </c>
      <c r="T36" s="31" t="s">
        <v>271</v>
      </c>
      <c r="U36" s="32" t="s">
        <v>272</v>
      </c>
      <c r="V36" s="32" t="s">
        <v>272</v>
      </c>
    </row>
    <row r="37" ht="18" hidden="1" customHeight="1" spans="1:22">
      <c r="A37" s="11" t="s">
        <v>294</v>
      </c>
      <c r="B37" s="11" t="s">
        <v>261</v>
      </c>
      <c r="C37" s="11" t="str">
        <f>LEFT(D37,SEARCH(" ",D37))</f>
        <v>CEL </v>
      </c>
      <c r="D37" s="15" t="s">
        <v>47</v>
      </c>
      <c r="E37" s="15">
        <v>3</v>
      </c>
      <c r="F37" s="23" t="s">
        <v>262</v>
      </c>
      <c r="G37" s="15" t="s">
        <v>297</v>
      </c>
      <c r="H37" s="15" t="s">
        <v>277</v>
      </c>
      <c r="I37" s="15" t="s">
        <v>264</v>
      </c>
      <c r="J37" s="15" t="s">
        <v>296</v>
      </c>
      <c r="K37" s="15">
        <v>501</v>
      </c>
      <c r="L37" s="26">
        <v>30000</v>
      </c>
      <c r="M37" s="15" t="s">
        <v>266</v>
      </c>
      <c r="N37" s="15" t="s">
        <v>267</v>
      </c>
      <c r="O37" s="15" t="s">
        <v>268</v>
      </c>
      <c r="P37" s="15" t="s">
        <v>268</v>
      </c>
      <c r="Q37" s="15" t="s">
        <v>269</v>
      </c>
      <c r="R37" s="15" t="s">
        <v>270</v>
      </c>
      <c r="S37" s="15">
        <v>1500</v>
      </c>
      <c r="T37" s="31" t="s">
        <v>271</v>
      </c>
      <c r="U37" s="32" t="s">
        <v>272</v>
      </c>
      <c r="V37" s="32" t="s">
        <v>272</v>
      </c>
    </row>
    <row r="38" ht="18" hidden="1" customHeight="1" spans="1:22">
      <c r="A38" s="11" t="s">
        <v>294</v>
      </c>
      <c r="B38" s="11" t="s">
        <v>261</v>
      </c>
      <c r="C38" s="11" t="str">
        <f>LEFT(D38,SEARCH(" ",D38))</f>
        <v>GBS </v>
      </c>
      <c r="D38" s="15" t="s">
        <v>61</v>
      </c>
      <c r="E38" s="15">
        <v>4</v>
      </c>
      <c r="F38" s="23" t="s">
        <v>262</v>
      </c>
      <c r="G38" s="15" t="s">
        <v>298</v>
      </c>
      <c r="H38" s="15" t="s">
        <v>264</v>
      </c>
      <c r="I38" s="15" t="s">
        <v>264</v>
      </c>
      <c r="J38" s="15" t="s">
        <v>296</v>
      </c>
      <c r="K38" s="15">
        <v>501</v>
      </c>
      <c r="L38" s="26">
        <v>30000</v>
      </c>
      <c r="M38" s="15" t="s">
        <v>266</v>
      </c>
      <c r="N38" s="15" t="s">
        <v>267</v>
      </c>
      <c r="O38" s="15" t="s">
        <v>268</v>
      </c>
      <c r="P38" s="15" t="s">
        <v>268</v>
      </c>
      <c r="Q38" s="15" t="s">
        <v>269</v>
      </c>
      <c r="R38" s="15" t="s">
        <v>270</v>
      </c>
      <c r="S38" s="15">
        <v>1500</v>
      </c>
      <c r="T38" s="31" t="s">
        <v>271</v>
      </c>
      <c r="U38" s="32" t="s">
        <v>272</v>
      </c>
      <c r="V38" s="32" t="s">
        <v>272</v>
      </c>
    </row>
    <row r="39" ht="18" hidden="1" customHeight="1" spans="1:22">
      <c r="A39" s="16" t="s">
        <v>278</v>
      </c>
      <c r="B39" s="16" t="s">
        <v>278</v>
      </c>
      <c r="C39" s="16" t="s">
        <v>278</v>
      </c>
      <c r="D39" s="16" t="s">
        <v>278</v>
      </c>
      <c r="E39" s="16" t="s">
        <v>279</v>
      </c>
      <c r="F39" s="16" t="s">
        <v>278</v>
      </c>
      <c r="G39" s="16" t="s">
        <v>278</v>
      </c>
      <c r="H39" s="16" t="s">
        <v>278</v>
      </c>
      <c r="I39" s="16" t="s">
        <v>278</v>
      </c>
      <c r="J39" s="16" t="s">
        <v>278</v>
      </c>
      <c r="K39" s="16" t="s">
        <v>278</v>
      </c>
      <c r="L39" s="16" t="s">
        <v>278</v>
      </c>
      <c r="M39" s="16"/>
      <c r="N39" s="16"/>
      <c r="O39" s="16"/>
      <c r="P39" s="16"/>
      <c r="Q39" s="16" t="s">
        <v>278</v>
      </c>
      <c r="R39" s="16" t="s">
        <v>278</v>
      </c>
      <c r="S39" s="16" t="s">
        <v>278</v>
      </c>
      <c r="T39" s="16" t="s">
        <v>278</v>
      </c>
      <c r="U39" s="16" t="s">
        <v>278</v>
      </c>
      <c r="V39" s="16" t="s">
        <v>278</v>
      </c>
    </row>
    <row r="40" ht="18" hidden="1" customHeight="1" spans="1:22">
      <c r="A40" s="11" t="s">
        <v>294</v>
      </c>
      <c r="B40" s="11" t="s">
        <v>280</v>
      </c>
      <c r="C40" s="11" t="str">
        <f t="shared" ref="C40:C50" si="3">LEFT(D40,SEARCH(" ",D40))</f>
        <v>GBS </v>
      </c>
      <c r="D40" s="15" t="s">
        <v>64</v>
      </c>
      <c r="E40" s="15">
        <v>1</v>
      </c>
      <c r="F40" s="23" t="s">
        <v>281</v>
      </c>
      <c r="G40" s="15" t="s">
        <v>299</v>
      </c>
      <c r="H40" s="15" t="s">
        <v>277</v>
      </c>
      <c r="I40" s="15" t="s">
        <v>264</v>
      </c>
      <c r="J40" s="15" t="s">
        <v>296</v>
      </c>
      <c r="K40" s="15">
        <v>501</v>
      </c>
      <c r="L40" s="26">
        <v>30000</v>
      </c>
      <c r="M40" s="15" t="s">
        <v>266</v>
      </c>
      <c r="N40" s="15" t="s">
        <v>267</v>
      </c>
      <c r="O40" s="15" t="s">
        <v>268</v>
      </c>
      <c r="P40" s="15" t="s">
        <v>268</v>
      </c>
      <c r="Q40" s="15" t="s">
        <v>269</v>
      </c>
      <c r="R40" s="15" t="s">
        <v>270</v>
      </c>
      <c r="S40" s="15">
        <v>1500</v>
      </c>
      <c r="T40" s="31" t="s">
        <v>271</v>
      </c>
      <c r="U40" s="32" t="s">
        <v>272</v>
      </c>
      <c r="V40" s="32" t="s">
        <v>272</v>
      </c>
    </row>
    <row r="41" ht="18" hidden="1" customHeight="1" spans="1:22">
      <c r="A41" s="11" t="s">
        <v>294</v>
      </c>
      <c r="B41" s="11" t="s">
        <v>280</v>
      </c>
      <c r="C41" s="11" t="str">
        <f t="shared" si="3"/>
        <v>ZTO </v>
      </c>
      <c r="D41" s="15" t="s">
        <v>232</v>
      </c>
      <c r="E41" s="15">
        <v>2</v>
      </c>
      <c r="F41" s="23" t="s">
        <v>281</v>
      </c>
      <c r="G41" s="15" t="s">
        <v>300</v>
      </c>
      <c r="H41" s="15" t="s">
        <v>277</v>
      </c>
      <c r="I41" s="15" t="s">
        <v>264</v>
      </c>
      <c r="J41" s="15" t="s">
        <v>296</v>
      </c>
      <c r="K41" s="15">
        <v>501</v>
      </c>
      <c r="L41" s="26">
        <v>30000</v>
      </c>
      <c r="M41" s="15" t="s">
        <v>266</v>
      </c>
      <c r="N41" s="15" t="s">
        <v>267</v>
      </c>
      <c r="O41" s="15" t="s">
        <v>268</v>
      </c>
      <c r="P41" s="15" t="s">
        <v>268</v>
      </c>
      <c r="Q41" s="15" t="s">
        <v>269</v>
      </c>
      <c r="R41" s="15" t="s">
        <v>270</v>
      </c>
      <c r="S41" s="15">
        <v>1500</v>
      </c>
      <c r="T41" s="31" t="s">
        <v>271</v>
      </c>
      <c r="U41" s="32" t="s">
        <v>272</v>
      </c>
      <c r="V41" s="32" t="s">
        <v>272</v>
      </c>
    </row>
    <row r="42" ht="18" hidden="1" customHeight="1" spans="1:22">
      <c r="A42" s="11" t="s">
        <v>294</v>
      </c>
      <c r="B42" s="11" t="s">
        <v>280</v>
      </c>
      <c r="C42" s="11" t="str">
        <f t="shared" si="3"/>
        <v>Ural </v>
      </c>
      <c r="D42" s="15" t="s">
        <v>196</v>
      </c>
      <c r="E42" s="15">
        <v>2</v>
      </c>
      <c r="F42" s="23" t="s">
        <v>281</v>
      </c>
      <c r="G42" s="15" t="s">
        <v>300</v>
      </c>
      <c r="H42" s="15" t="s">
        <v>277</v>
      </c>
      <c r="I42" s="15" t="s">
        <v>264</v>
      </c>
      <c r="J42" s="15" t="s">
        <v>296</v>
      </c>
      <c r="K42" s="15">
        <v>501</v>
      </c>
      <c r="L42" s="26">
        <v>30000</v>
      </c>
      <c r="M42" s="15" t="s">
        <v>266</v>
      </c>
      <c r="N42" s="15" t="s">
        <v>267</v>
      </c>
      <c r="O42" s="15" t="s">
        <v>268</v>
      </c>
      <c r="P42" s="15" t="s">
        <v>268</v>
      </c>
      <c r="Q42" s="15" t="s">
        <v>269</v>
      </c>
      <c r="R42" s="15" t="s">
        <v>270</v>
      </c>
      <c r="S42" s="15">
        <v>1500</v>
      </c>
      <c r="T42" s="31" t="s">
        <v>271</v>
      </c>
      <c r="U42" s="32" t="s">
        <v>272</v>
      </c>
      <c r="V42" s="32" t="s">
        <v>272</v>
      </c>
    </row>
    <row r="43" ht="18" hidden="1" customHeight="1" spans="1:22">
      <c r="A43" s="11" t="s">
        <v>294</v>
      </c>
      <c r="B43" s="11" t="s">
        <v>280</v>
      </c>
      <c r="C43" s="11" t="str">
        <f t="shared" si="3"/>
        <v>ATC </v>
      </c>
      <c r="D43" s="15" t="s">
        <v>35</v>
      </c>
      <c r="E43" s="15">
        <v>4</v>
      </c>
      <c r="F43" s="23" t="s">
        <v>281</v>
      </c>
      <c r="G43" s="15" t="s">
        <v>301</v>
      </c>
      <c r="H43" s="15" t="s">
        <v>277</v>
      </c>
      <c r="I43" s="15" t="s">
        <v>264</v>
      </c>
      <c r="J43" s="15" t="s">
        <v>296</v>
      </c>
      <c r="K43" s="15">
        <v>501</v>
      </c>
      <c r="L43" s="26">
        <v>30000</v>
      </c>
      <c r="M43" s="15" t="s">
        <v>266</v>
      </c>
      <c r="N43" s="15" t="s">
        <v>267</v>
      </c>
      <c r="O43" s="15" t="s">
        <v>268</v>
      </c>
      <c r="P43" s="15" t="s">
        <v>268</v>
      </c>
      <c r="Q43" s="15" t="s">
        <v>269</v>
      </c>
      <c r="R43" s="15" t="s">
        <v>270</v>
      </c>
      <c r="S43" s="15">
        <v>1500</v>
      </c>
      <c r="T43" s="31" t="s">
        <v>271</v>
      </c>
      <c r="U43" s="32" t="s">
        <v>272</v>
      </c>
      <c r="V43" s="32" t="s">
        <v>272</v>
      </c>
    </row>
    <row r="44" ht="18" hidden="1" customHeight="1" spans="1:22">
      <c r="A44" s="11" t="s">
        <v>294</v>
      </c>
      <c r="B44" s="11" t="s">
        <v>280</v>
      </c>
      <c r="C44" s="11" t="str">
        <f t="shared" si="3"/>
        <v>OYX </v>
      </c>
      <c r="D44" s="15" t="s">
        <v>116</v>
      </c>
      <c r="E44" s="15">
        <v>5</v>
      </c>
      <c r="F44" s="23" t="s">
        <v>281</v>
      </c>
      <c r="G44" s="15" t="s">
        <v>302</v>
      </c>
      <c r="H44" s="15" t="s">
        <v>277</v>
      </c>
      <c r="I44" s="15" t="s">
        <v>277</v>
      </c>
      <c r="J44" s="15" t="s">
        <v>296</v>
      </c>
      <c r="K44" s="15">
        <v>501</v>
      </c>
      <c r="L44" s="26">
        <v>30000</v>
      </c>
      <c r="M44" s="15" t="s">
        <v>266</v>
      </c>
      <c r="N44" s="15" t="s">
        <v>267</v>
      </c>
      <c r="O44" s="15" t="s">
        <v>268</v>
      </c>
      <c r="P44" s="15" t="s">
        <v>268</v>
      </c>
      <c r="Q44" s="15" t="s">
        <v>269</v>
      </c>
      <c r="R44" s="15" t="s">
        <v>270</v>
      </c>
      <c r="S44" s="15">
        <v>1500</v>
      </c>
      <c r="T44" s="31" t="s">
        <v>271</v>
      </c>
      <c r="U44" s="32" t="s">
        <v>272</v>
      </c>
      <c r="V44" s="32" t="s">
        <v>272</v>
      </c>
    </row>
    <row r="45" ht="18" hidden="1" customHeight="1" spans="1:22">
      <c r="A45" s="11" t="s">
        <v>294</v>
      </c>
      <c r="B45" s="11" t="s">
        <v>280</v>
      </c>
      <c r="C45" s="11" t="str">
        <f t="shared" si="3"/>
        <v>ABT </v>
      </c>
      <c r="D45" s="15" t="s">
        <v>23</v>
      </c>
      <c r="E45" s="15">
        <v>5</v>
      </c>
      <c r="F45" s="23" t="s">
        <v>281</v>
      </c>
      <c r="G45" s="15" t="s">
        <v>302</v>
      </c>
      <c r="H45" s="15" t="s">
        <v>277</v>
      </c>
      <c r="I45" s="15" t="s">
        <v>277</v>
      </c>
      <c r="J45" s="15" t="s">
        <v>296</v>
      </c>
      <c r="K45" s="15">
        <v>501</v>
      </c>
      <c r="L45" s="26">
        <v>30000</v>
      </c>
      <c r="M45" s="15" t="s">
        <v>266</v>
      </c>
      <c r="N45" s="15" t="s">
        <v>267</v>
      </c>
      <c r="O45" s="15" t="s">
        <v>268</v>
      </c>
      <c r="P45" s="15" t="s">
        <v>268</v>
      </c>
      <c r="Q45" s="15" t="s">
        <v>269</v>
      </c>
      <c r="R45" s="15" t="s">
        <v>270</v>
      </c>
      <c r="S45" s="15">
        <v>1500</v>
      </c>
      <c r="T45" s="31" t="s">
        <v>271</v>
      </c>
      <c r="U45" s="32" t="s">
        <v>272</v>
      </c>
      <c r="V45" s="32" t="s">
        <v>272</v>
      </c>
    </row>
    <row r="46" ht="18" hidden="1" customHeight="1" spans="1:22">
      <c r="A46" s="11" t="s">
        <v>294</v>
      </c>
      <c r="B46" s="11" t="s">
        <v>280</v>
      </c>
      <c r="C46" s="11" t="str">
        <f t="shared" si="3"/>
        <v>Xingyuan </v>
      </c>
      <c r="D46" s="15" t="s">
        <v>214</v>
      </c>
      <c r="E46" s="15">
        <v>5</v>
      </c>
      <c r="F46" s="23" t="s">
        <v>281</v>
      </c>
      <c r="G46" s="15" t="s">
        <v>302</v>
      </c>
      <c r="H46" s="15" t="s">
        <v>277</v>
      </c>
      <c r="I46" s="15" t="s">
        <v>277</v>
      </c>
      <c r="J46" s="15" t="s">
        <v>296</v>
      </c>
      <c r="K46" s="15">
        <v>501</v>
      </c>
      <c r="L46" s="26">
        <v>30000</v>
      </c>
      <c r="M46" s="15" t="s">
        <v>266</v>
      </c>
      <c r="N46" s="15" t="s">
        <v>267</v>
      </c>
      <c r="O46" s="15" t="s">
        <v>268</v>
      </c>
      <c r="P46" s="15" t="s">
        <v>268</v>
      </c>
      <c r="Q46" s="15" t="s">
        <v>269</v>
      </c>
      <c r="R46" s="15" t="s">
        <v>270</v>
      </c>
      <c r="S46" s="15">
        <v>1500</v>
      </c>
      <c r="T46" s="31" t="s">
        <v>271</v>
      </c>
      <c r="U46" s="32" t="s">
        <v>272</v>
      </c>
      <c r="V46" s="32" t="s">
        <v>272</v>
      </c>
    </row>
    <row r="47" ht="18" customHeight="1" spans="1:22">
      <c r="A47" s="11" t="s">
        <v>294</v>
      </c>
      <c r="B47" s="11" t="s">
        <v>280</v>
      </c>
      <c r="C47" s="11" t="str">
        <f t="shared" si="3"/>
        <v>RETS </v>
      </c>
      <c r="D47" s="15" t="s">
        <v>134</v>
      </c>
      <c r="E47" s="15">
        <v>8</v>
      </c>
      <c r="F47" s="23" t="s">
        <v>281</v>
      </c>
      <c r="G47" s="15" t="s">
        <v>300</v>
      </c>
      <c r="H47" s="15" t="s">
        <v>277</v>
      </c>
      <c r="I47" s="15" t="s">
        <v>264</v>
      </c>
      <c r="J47" s="15" t="s">
        <v>296</v>
      </c>
      <c r="K47" s="15">
        <v>501</v>
      </c>
      <c r="L47" s="26">
        <v>30000</v>
      </c>
      <c r="M47" s="15" t="s">
        <v>266</v>
      </c>
      <c r="N47" s="15" t="s">
        <v>267</v>
      </c>
      <c r="O47" s="15" t="s">
        <v>268</v>
      </c>
      <c r="P47" s="15" t="s">
        <v>268</v>
      </c>
      <c r="Q47" s="15" t="s">
        <v>269</v>
      </c>
      <c r="R47" s="15" t="s">
        <v>270</v>
      </c>
      <c r="S47" s="15">
        <v>1500</v>
      </c>
      <c r="T47" s="31" t="s">
        <v>271</v>
      </c>
      <c r="U47" s="32" t="s">
        <v>272</v>
      </c>
      <c r="V47" s="32" t="s">
        <v>272</v>
      </c>
    </row>
    <row r="48" ht="18" hidden="1" customHeight="1" spans="1:22">
      <c r="A48" s="11" t="s">
        <v>294</v>
      </c>
      <c r="B48" s="11" t="s">
        <v>280</v>
      </c>
      <c r="C48" s="11" t="str">
        <f t="shared" si="3"/>
        <v>CEL </v>
      </c>
      <c r="D48" s="15" t="s">
        <v>53</v>
      </c>
      <c r="E48" s="15">
        <v>9</v>
      </c>
      <c r="F48" s="23" t="s">
        <v>281</v>
      </c>
      <c r="G48" s="15" t="s">
        <v>302</v>
      </c>
      <c r="H48" s="15" t="s">
        <v>277</v>
      </c>
      <c r="I48" s="15" t="s">
        <v>277</v>
      </c>
      <c r="J48" s="15" t="s">
        <v>296</v>
      </c>
      <c r="K48" s="15">
        <v>501</v>
      </c>
      <c r="L48" s="26">
        <v>30000</v>
      </c>
      <c r="M48" s="15" t="s">
        <v>266</v>
      </c>
      <c r="N48" s="15" t="s">
        <v>267</v>
      </c>
      <c r="O48" s="15" t="s">
        <v>268</v>
      </c>
      <c r="P48" s="15" t="s">
        <v>268</v>
      </c>
      <c r="Q48" s="15" t="s">
        <v>269</v>
      </c>
      <c r="R48" s="15" t="s">
        <v>270</v>
      </c>
      <c r="S48" s="15">
        <v>1500</v>
      </c>
      <c r="T48" s="31" t="s">
        <v>271</v>
      </c>
      <c r="U48" s="32" t="s">
        <v>272</v>
      </c>
      <c r="V48" s="32" t="s">
        <v>272</v>
      </c>
    </row>
    <row r="49" ht="18" hidden="1" customHeight="1" spans="1:22">
      <c r="A49" s="11" t="s">
        <v>294</v>
      </c>
      <c r="B49" s="11" t="s">
        <v>280</v>
      </c>
      <c r="C49" s="11" t="str">
        <f t="shared" si="3"/>
        <v>GUOO </v>
      </c>
      <c r="D49" s="15" t="s">
        <v>77</v>
      </c>
      <c r="E49" s="15">
        <v>9</v>
      </c>
      <c r="F49" s="23" t="s">
        <v>281</v>
      </c>
      <c r="G49" s="15" t="s">
        <v>300</v>
      </c>
      <c r="H49" s="15" t="s">
        <v>277</v>
      </c>
      <c r="I49" s="15" t="s">
        <v>277</v>
      </c>
      <c r="J49" s="15" t="s">
        <v>296</v>
      </c>
      <c r="K49" s="15">
        <v>501</v>
      </c>
      <c r="L49" s="26">
        <v>30000</v>
      </c>
      <c r="M49" s="15" t="s">
        <v>266</v>
      </c>
      <c r="N49" s="15" t="s">
        <v>267</v>
      </c>
      <c r="O49" s="15" t="s">
        <v>268</v>
      </c>
      <c r="P49" s="15" t="s">
        <v>268</v>
      </c>
      <c r="Q49" s="15" t="s">
        <v>269</v>
      </c>
      <c r="R49" s="15" t="s">
        <v>270</v>
      </c>
      <c r="S49" s="15">
        <v>1500</v>
      </c>
      <c r="T49" s="31" t="s">
        <v>271</v>
      </c>
      <c r="U49" s="32" t="s">
        <v>272</v>
      </c>
      <c r="V49" s="32" t="s">
        <v>272</v>
      </c>
    </row>
    <row r="50" ht="18" hidden="1" customHeight="1" spans="1:22">
      <c r="A50" s="11" t="s">
        <v>294</v>
      </c>
      <c r="B50" s="11" t="s">
        <v>280</v>
      </c>
      <c r="C50" s="11" t="str">
        <f t="shared" si="3"/>
        <v>Tanais </v>
      </c>
      <c r="D50" s="15" t="s">
        <v>149</v>
      </c>
      <c r="E50" s="15">
        <v>11</v>
      </c>
      <c r="F50" s="23" t="s">
        <v>281</v>
      </c>
      <c r="G50" s="15" t="s">
        <v>303</v>
      </c>
      <c r="H50" s="15" t="s">
        <v>264</v>
      </c>
      <c r="I50" s="15" t="s">
        <v>264</v>
      </c>
      <c r="J50" s="15" t="s">
        <v>296</v>
      </c>
      <c r="K50" s="15">
        <v>501</v>
      </c>
      <c r="L50" s="26">
        <v>30000</v>
      </c>
      <c r="M50" s="15" t="s">
        <v>266</v>
      </c>
      <c r="N50" s="15" t="s">
        <v>267</v>
      </c>
      <c r="O50" s="15" t="s">
        <v>268</v>
      </c>
      <c r="P50" s="15" t="s">
        <v>268</v>
      </c>
      <c r="Q50" s="15" t="s">
        <v>269</v>
      </c>
      <c r="R50" s="15" t="s">
        <v>270</v>
      </c>
      <c r="S50" s="15">
        <v>1500</v>
      </c>
      <c r="T50" s="31" t="s">
        <v>271</v>
      </c>
      <c r="U50" s="32" t="s">
        <v>272</v>
      </c>
      <c r="V50" s="32" t="s">
        <v>272</v>
      </c>
    </row>
    <row r="51" ht="18" hidden="1" customHeight="1" spans="1:22">
      <c r="A51" s="16" t="s">
        <v>278</v>
      </c>
      <c r="B51" s="16" t="s">
        <v>278</v>
      </c>
      <c r="C51" s="16" t="s">
        <v>278</v>
      </c>
      <c r="D51" s="16" t="s">
        <v>278</v>
      </c>
      <c r="E51" s="16" t="s">
        <v>279</v>
      </c>
      <c r="F51" s="16" t="s">
        <v>278</v>
      </c>
      <c r="G51" s="16" t="s">
        <v>278</v>
      </c>
      <c r="H51" s="16" t="s">
        <v>278</v>
      </c>
      <c r="I51" s="16" t="s">
        <v>278</v>
      </c>
      <c r="J51" s="16" t="s">
        <v>278</v>
      </c>
      <c r="K51" s="16" t="s">
        <v>278</v>
      </c>
      <c r="L51" s="16" t="s">
        <v>278</v>
      </c>
      <c r="M51" s="16"/>
      <c r="N51" s="16"/>
      <c r="O51" s="16"/>
      <c r="P51" s="16"/>
      <c r="Q51" s="16" t="s">
        <v>278</v>
      </c>
      <c r="R51" s="16" t="s">
        <v>278</v>
      </c>
      <c r="S51" s="16" t="s">
        <v>278</v>
      </c>
      <c r="T51" s="16" t="s">
        <v>278</v>
      </c>
      <c r="U51" s="16" t="s">
        <v>278</v>
      </c>
      <c r="V51" s="16" t="s">
        <v>278</v>
      </c>
    </row>
    <row r="52" ht="18" hidden="1" customHeight="1" spans="1:22">
      <c r="A52" s="11" t="s">
        <v>294</v>
      </c>
      <c r="B52" s="11" t="s">
        <v>287</v>
      </c>
      <c r="C52" s="11" t="str">
        <f t="shared" ref="C52:C61" si="4">LEFT(D52,SEARCH(" ",D52))</f>
        <v>ZTO </v>
      </c>
      <c r="D52" s="15" t="s">
        <v>219</v>
      </c>
      <c r="E52" s="15">
        <v>1</v>
      </c>
      <c r="F52" s="23" t="s">
        <v>288</v>
      </c>
      <c r="G52" s="15" t="s">
        <v>304</v>
      </c>
      <c r="H52" s="15" t="s">
        <v>277</v>
      </c>
      <c r="I52" s="15" t="s">
        <v>264</v>
      </c>
      <c r="J52" s="15" t="s">
        <v>296</v>
      </c>
      <c r="K52" s="15">
        <v>501</v>
      </c>
      <c r="L52" s="26">
        <v>30000</v>
      </c>
      <c r="M52" s="15" t="s">
        <v>266</v>
      </c>
      <c r="N52" s="15" t="s">
        <v>267</v>
      </c>
      <c r="O52" s="15" t="s">
        <v>268</v>
      </c>
      <c r="P52" s="15" t="s">
        <v>268</v>
      </c>
      <c r="Q52" s="15" t="s">
        <v>269</v>
      </c>
      <c r="R52" s="15" t="s">
        <v>270</v>
      </c>
      <c r="S52" s="15">
        <v>1500</v>
      </c>
      <c r="T52" s="31" t="s">
        <v>271</v>
      </c>
      <c r="U52" s="32" t="s">
        <v>272</v>
      </c>
      <c r="V52" s="32" t="s">
        <v>272</v>
      </c>
    </row>
    <row r="53" ht="18" customHeight="1" spans="1:22">
      <c r="A53" s="11" t="s">
        <v>294</v>
      </c>
      <c r="B53" s="11" t="s">
        <v>287</v>
      </c>
      <c r="C53" s="11" t="str">
        <f t="shared" si="4"/>
        <v>RETS </v>
      </c>
      <c r="D53" s="15" t="s">
        <v>122</v>
      </c>
      <c r="E53" s="15">
        <v>1</v>
      </c>
      <c r="F53" s="23" t="s">
        <v>288</v>
      </c>
      <c r="G53" s="15" t="s">
        <v>304</v>
      </c>
      <c r="H53" s="15" t="s">
        <v>277</v>
      </c>
      <c r="I53" s="15" t="s">
        <v>277</v>
      </c>
      <c r="J53" s="15" t="s">
        <v>296</v>
      </c>
      <c r="K53" s="15">
        <v>501</v>
      </c>
      <c r="L53" s="26">
        <v>30000</v>
      </c>
      <c r="M53" s="15" t="s">
        <v>266</v>
      </c>
      <c r="N53" s="15" t="s">
        <v>267</v>
      </c>
      <c r="O53" s="15" t="s">
        <v>268</v>
      </c>
      <c r="P53" s="15" t="s">
        <v>268</v>
      </c>
      <c r="Q53" s="15" t="s">
        <v>269</v>
      </c>
      <c r="R53" s="15" t="s">
        <v>270</v>
      </c>
      <c r="S53" s="15">
        <v>1500</v>
      </c>
      <c r="T53" s="31" t="s">
        <v>271</v>
      </c>
      <c r="U53" s="32" t="s">
        <v>272</v>
      </c>
      <c r="V53" s="32" t="s">
        <v>272</v>
      </c>
    </row>
    <row r="54" ht="18" hidden="1" customHeight="1" spans="1:22">
      <c r="A54" s="11" t="s">
        <v>294</v>
      </c>
      <c r="B54" s="11" t="s">
        <v>287</v>
      </c>
      <c r="C54" s="11" t="str">
        <f t="shared" si="4"/>
        <v>Xingyuan </v>
      </c>
      <c r="D54" s="15" t="s">
        <v>202</v>
      </c>
      <c r="E54" s="15">
        <v>3</v>
      </c>
      <c r="F54" s="23" t="s">
        <v>288</v>
      </c>
      <c r="G54" s="15" t="s">
        <v>305</v>
      </c>
      <c r="H54" s="15" t="s">
        <v>277</v>
      </c>
      <c r="I54" s="15" t="s">
        <v>277</v>
      </c>
      <c r="J54" s="15" t="s">
        <v>296</v>
      </c>
      <c r="K54" s="15">
        <v>501</v>
      </c>
      <c r="L54" s="26">
        <v>30000</v>
      </c>
      <c r="M54" s="15" t="s">
        <v>266</v>
      </c>
      <c r="N54" s="15" t="s">
        <v>267</v>
      </c>
      <c r="O54" s="15" t="s">
        <v>268</v>
      </c>
      <c r="P54" s="15" t="s">
        <v>268</v>
      </c>
      <c r="Q54" s="15" t="s">
        <v>269</v>
      </c>
      <c r="R54" s="15" t="s">
        <v>270</v>
      </c>
      <c r="S54" s="15">
        <v>1500</v>
      </c>
      <c r="T54" s="31" t="s">
        <v>271</v>
      </c>
      <c r="U54" s="32" t="s">
        <v>272</v>
      </c>
      <c r="V54" s="32" t="s">
        <v>272</v>
      </c>
    </row>
    <row r="55" ht="18" hidden="1" customHeight="1" spans="1:22">
      <c r="A55" s="11" t="s">
        <v>294</v>
      </c>
      <c r="B55" s="11" t="s">
        <v>287</v>
      </c>
      <c r="C55" s="11" t="str">
        <f t="shared" si="4"/>
        <v>ABT </v>
      </c>
      <c r="D55" s="15" t="s">
        <v>11</v>
      </c>
      <c r="E55" s="15">
        <v>3</v>
      </c>
      <c r="F55" s="23" t="s">
        <v>288</v>
      </c>
      <c r="G55" s="15" t="s">
        <v>305</v>
      </c>
      <c r="H55" s="15" t="s">
        <v>277</v>
      </c>
      <c r="I55" s="15" t="s">
        <v>277</v>
      </c>
      <c r="J55" s="15" t="s">
        <v>296</v>
      </c>
      <c r="K55" s="15">
        <v>501</v>
      </c>
      <c r="L55" s="26">
        <v>30000</v>
      </c>
      <c r="M55" s="15" t="s">
        <v>266</v>
      </c>
      <c r="N55" s="15" t="s">
        <v>267</v>
      </c>
      <c r="O55" s="15" t="s">
        <v>268</v>
      </c>
      <c r="P55" s="15" t="s">
        <v>268</v>
      </c>
      <c r="Q55" s="15" t="s">
        <v>269</v>
      </c>
      <c r="R55" s="15" t="s">
        <v>270</v>
      </c>
      <c r="S55" s="15">
        <v>1500</v>
      </c>
      <c r="T55" s="31" t="s">
        <v>271</v>
      </c>
      <c r="U55" s="32" t="s">
        <v>272</v>
      </c>
      <c r="V55" s="32" t="s">
        <v>272</v>
      </c>
    </row>
    <row r="56" ht="18" hidden="1" customHeight="1" spans="1:22">
      <c r="A56" s="11" t="s">
        <v>294</v>
      </c>
      <c r="B56" s="11" t="s">
        <v>287</v>
      </c>
      <c r="C56" s="11" t="str">
        <f t="shared" si="4"/>
        <v>OYX </v>
      </c>
      <c r="D56" s="15" t="s">
        <v>104</v>
      </c>
      <c r="E56" s="15">
        <v>3</v>
      </c>
      <c r="F56" s="23" t="s">
        <v>288</v>
      </c>
      <c r="G56" s="15" t="s">
        <v>305</v>
      </c>
      <c r="H56" s="15" t="s">
        <v>277</v>
      </c>
      <c r="I56" s="15" t="s">
        <v>277</v>
      </c>
      <c r="J56" s="15" t="s">
        <v>296</v>
      </c>
      <c r="K56" s="15">
        <v>501</v>
      </c>
      <c r="L56" s="26">
        <v>30000</v>
      </c>
      <c r="M56" s="15" t="s">
        <v>266</v>
      </c>
      <c r="N56" s="15" t="s">
        <v>267</v>
      </c>
      <c r="O56" s="15" t="s">
        <v>268</v>
      </c>
      <c r="P56" s="15" t="s">
        <v>268</v>
      </c>
      <c r="Q56" s="15" t="s">
        <v>269</v>
      </c>
      <c r="R56" s="15" t="s">
        <v>270</v>
      </c>
      <c r="S56" s="15">
        <v>1500</v>
      </c>
      <c r="T56" s="31" t="s">
        <v>271</v>
      </c>
      <c r="U56" s="32" t="s">
        <v>272</v>
      </c>
      <c r="V56" s="32" t="s">
        <v>272</v>
      </c>
    </row>
    <row r="57" ht="18" hidden="1" customHeight="1" spans="1:22">
      <c r="A57" s="11" t="s">
        <v>294</v>
      </c>
      <c r="B57" s="11" t="s">
        <v>287</v>
      </c>
      <c r="C57" s="11" t="str">
        <f t="shared" si="4"/>
        <v>CEL </v>
      </c>
      <c r="D57" s="15" t="s">
        <v>41</v>
      </c>
      <c r="E57" s="15">
        <v>3</v>
      </c>
      <c r="F57" s="23" t="s">
        <v>288</v>
      </c>
      <c r="G57" s="15" t="s">
        <v>305</v>
      </c>
      <c r="H57" s="15" t="s">
        <v>277</v>
      </c>
      <c r="I57" s="15" t="s">
        <v>277</v>
      </c>
      <c r="J57" s="15" t="s">
        <v>296</v>
      </c>
      <c r="K57" s="15">
        <v>501</v>
      </c>
      <c r="L57" s="26">
        <v>30000</v>
      </c>
      <c r="M57" s="15" t="s">
        <v>266</v>
      </c>
      <c r="N57" s="15" t="s">
        <v>267</v>
      </c>
      <c r="O57" s="15" t="s">
        <v>268</v>
      </c>
      <c r="P57" s="15" t="s">
        <v>268</v>
      </c>
      <c r="Q57" s="15" t="s">
        <v>269</v>
      </c>
      <c r="R57" s="15" t="s">
        <v>270</v>
      </c>
      <c r="S57" s="15">
        <v>1500</v>
      </c>
      <c r="T57" s="31" t="s">
        <v>271</v>
      </c>
      <c r="U57" s="32" t="s">
        <v>272</v>
      </c>
      <c r="V57" s="32" t="s">
        <v>272</v>
      </c>
    </row>
    <row r="58" ht="18" hidden="1" customHeight="1" spans="1:22">
      <c r="A58" s="11" t="s">
        <v>294</v>
      </c>
      <c r="B58" s="11" t="s">
        <v>287</v>
      </c>
      <c r="C58" s="11" t="str">
        <f t="shared" si="4"/>
        <v>GUOO </v>
      </c>
      <c r="D58" s="15" t="s">
        <v>68</v>
      </c>
      <c r="E58" s="15">
        <v>3</v>
      </c>
      <c r="F58" s="23" t="s">
        <v>288</v>
      </c>
      <c r="G58" s="15" t="s">
        <v>304</v>
      </c>
      <c r="H58" s="15" t="s">
        <v>277</v>
      </c>
      <c r="I58" s="15" t="s">
        <v>264</v>
      </c>
      <c r="J58" s="15" t="s">
        <v>296</v>
      </c>
      <c r="K58" s="15">
        <v>501</v>
      </c>
      <c r="L58" s="26">
        <v>30000</v>
      </c>
      <c r="M58" s="15" t="s">
        <v>266</v>
      </c>
      <c r="N58" s="15" t="s">
        <v>267</v>
      </c>
      <c r="O58" s="15" t="s">
        <v>268</v>
      </c>
      <c r="P58" s="15" t="s">
        <v>268</v>
      </c>
      <c r="Q58" s="15" t="s">
        <v>269</v>
      </c>
      <c r="R58" s="15" t="s">
        <v>270</v>
      </c>
      <c r="S58" s="15">
        <v>1500</v>
      </c>
      <c r="T58" s="31" t="s">
        <v>271</v>
      </c>
      <c r="U58" s="32" t="s">
        <v>272</v>
      </c>
      <c r="V58" s="32" t="s">
        <v>272</v>
      </c>
    </row>
    <row r="59" ht="18" hidden="1" customHeight="1" spans="1:22">
      <c r="A59" s="11" t="s">
        <v>294</v>
      </c>
      <c r="B59" s="11" t="s">
        <v>287</v>
      </c>
      <c r="C59" s="11" t="str">
        <f t="shared" si="4"/>
        <v>GBS </v>
      </c>
      <c r="D59" s="15" t="s">
        <v>58</v>
      </c>
      <c r="E59" s="15">
        <v>8</v>
      </c>
      <c r="F59" s="23" t="s">
        <v>288</v>
      </c>
      <c r="G59" s="15" t="s">
        <v>306</v>
      </c>
      <c r="H59" s="15" t="s">
        <v>277</v>
      </c>
      <c r="I59" s="15" t="s">
        <v>264</v>
      </c>
      <c r="J59" s="15" t="s">
        <v>296</v>
      </c>
      <c r="K59" s="15">
        <v>501</v>
      </c>
      <c r="L59" s="26">
        <v>30000</v>
      </c>
      <c r="M59" s="15" t="s">
        <v>266</v>
      </c>
      <c r="N59" s="15" t="s">
        <v>267</v>
      </c>
      <c r="O59" s="15" t="s">
        <v>268</v>
      </c>
      <c r="P59" s="15" t="s">
        <v>268</v>
      </c>
      <c r="Q59" s="15" t="s">
        <v>269</v>
      </c>
      <c r="R59" s="15" t="s">
        <v>270</v>
      </c>
      <c r="S59" s="15">
        <v>1500</v>
      </c>
      <c r="T59" s="31" t="s">
        <v>271</v>
      </c>
      <c r="U59" s="32" t="s">
        <v>272</v>
      </c>
      <c r="V59" s="32" t="s">
        <v>272</v>
      </c>
    </row>
    <row r="60" ht="18" hidden="1" customHeight="1" spans="1:22">
      <c r="A60" s="11" t="s">
        <v>294</v>
      </c>
      <c r="B60" s="11" t="s">
        <v>287</v>
      </c>
      <c r="C60" s="11" t="str">
        <f t="shared" si="4"/>
        <v>ATC </v>
      </c>
      <c r="D60" s="15" t="s">
        <v>29</v>
      </c>
      <c r="E60" s="15">
        <v>9</v>
      </c>
      <c r="F60" s="23" t="s">
        <v>288</v>
      </c>
      <c r="G60" s="15" t="s">
        <v>307</v>
      </c>
      <c r="H60" s="15" t="s">
        <v>277</v>
      </c>
      <c r="I60" s="15" t="s">
        <v>264</v>
      </c>
      <c r="J60" s="15" t="s">
        <v>296</v>
      </c>
      <c r="K60" s="15">
        <v>501</v>
      </c>
      <c r="L60" s="26">
        <v>30000</v>
      </c>
      <c r="M60" s="15" t="s">
        <v>266</v>
      </c>
      <c r="N60" s="15" t="s">
        <v>267</v>
      </c>
      <c r="O60" s="15" t="s">
        <v>268</v>
      </c>
      <c r="P60" s="15" t="s">
        <v>268</v>
      </c>
      <c r="Q60" s="15" t="s">
        <v>269</v>
      </c>
      <c r="R60" s="15" t="s">
        <v>270</v>
      </c>
      <c r="S60" s="15">
        <v>1500</v>
      </c>
      <c r="T60" s="31" t="s">
        <v>271</v>
      </c>
      <c r="U60" s="32" t="s">
        <v>272</v>
      </c>
      <c r="V60" s="32" t="s">
        <v>272</v>
      </c>
    </row>
    <row r="61" ht="18" hidden="1" customHeight="1" spans="1:22">
      <c r="A61" s="11" t="s">
        <v>294</v>
      </c>
      <c r="B61" s="11" t="s">
        <v>287</v>
      </c>
      <c r="C61" s="11" t="str">
        <f t="shared" si="4"/>
        <v>Tanais </v>
      </c>
      <c r="D61" s="15" t="s">
        <v>140</v>
      </c>
      <c r="E61" s="15">
        <v>10</v>
      </c>
      <c r="F61" s="23" t="s">
        <v>288</v>
      </c>
      <c r="G61" s="15" t="s">
        <v>308</v>
      </c>
      <c r="H61" s="15" t="s">
        <v>264</v>
      </c>
      <c r="I61" s="15" t="s">
        <v>264</v>
      </c>
      <c r="J61" s="15" t="s">
        <v>296</v>
      </c>
      <c r="K61" s="15">
        <v>501</v>
      </c>
      <c r="L61" s="26">
        <v>30000</v>
      </c>
      <c r="M61" s="15" t="s">
        <v>266</v>
      </c>
      <c r="N61" s="15" t="s">
        <v>267</v>
      </c>
      <c r="O61" s="15" t="s">
        <v>268</v>
      </c>
      <c r="P61" s="15" t="s">
        <v>268</v>
      </c>
      <c r="Q61" s="15" t="s">
        <v>269</v>
      </c>
      <c r="R61" s="15" t="s">
        <v>270</v>
      </c>
      <c r="S61" s="15">
        <v>1500</v>
      </c>
      <c r="T61" s="31" t="s">
        <v>271</v>
      </c>
      <c r="U61" s="32" t="s">
        <v>272</v>
      </c>
      <c r="V61" s="32" t="s">
        <v>272</v>
      </c>
    </row>
    <row r="62" ht="18" hidden="1" customHeight="1" spans="1:22">
      <c r="A62" s="16" t="s">
        <v>278</v>
      </c>
      <c r="B62" s="16" t="s">
        <v>278</v>
      </c>
      <c r="C62" s="16" t="s">
        <v>278</v>
      </c>
      <c r="D62" s="16" t="s">
        <v>278</v>
      </c>
      <c r="E62" s="16" t="s">
        <v>279</v>
      </c>
      <c r="F62" s="16" t="s">
        <v>278</v>
      </c>
      <c r="G62" s="16" t="s">
        <v>278</v>
      </c>
      <c r="H62" s="16" t="s">
        <v>278</v>
      </c>
      <c r="I62" s="16" t="s">
        <v>278</v>
      </c>
      <c r="J62" s="16" t="s">
        <v>278</v>
      </c>
      <c r="K62" s="16" t="s">
        <v>278</v>
      </c>
      <c r="L62" s="16" t="s">
        <v>278</v>
      </c>
      <c r="M62" s="16"/>
      <c r="N62" s="16"/>
      <c r="O62" s="16"/>
      <c r="P62" s="16"/>
      <c r="Q62" s="16" t="s">
        <v>278</v>
      </c>
      <c r="R62" s="16" t="s">
        <v>278</v>
      </c>
      <c r="S62" s="16" t="s">
        <v>278</v>
      </c>
      <c r="T62" s="16" t="s">
        <v>278</v>
      </c>
      <c r="U62" s="16" t="s">
        <v>278</v>
      </c>
      <c r="V62" s="16" t="s">
        <v>278</v>
      </c>
    </row>
    <row r="63" ht="18" hidden="1" customHeight="1" spans="1:22">
      <c r="A63" s="11" t="s">
        <v>309</v>
      </c>
      <c r="B63" s="11" t="s">
        <v>261</v>
      </c>
      <c r="C63" s="11" t="str">
        <f t="shared" ref="C63:C69" si="5">LEFT(D63,SEARCH(" ",D63))</f>
        <v>ZTO </v>
      </c>
      <c r="D63" s="15" t="s">
        <v>227</v>
      </c>
      <c r="E63" s="15">
        <v>1</v>
      </c>
      <c r="F63" s="23" t="s">
        <v>262</v>
      </c>
      <c r="G63" s="15" t="s">
        <v>310</v>
      </c>
      <c r="H63" s="15" t="s">
        <v>264</v>
      </c>
      <c r="I63" s="15" t="s">
        <v>264</v>
      </c>
      <c r="J63" s="15" t="s">
        <v>296</v>
      </c>
      <c r="K63" s="15">
        <v>1</v>
      </c>
      <c r="L63" s="15">
        <v>2000</v>
      </c>
      <c r="M63" s="15" t="s">
        <v>311</v>
      </c>
      <c r="N63" s="15" t="s">
        <v>312</v>
      </c>
      <c r="O63" s="23" t="s">
        <v>313</v>
      </c>
      <c r="P63" s="23" t="s">
        <v>314</v>
      </c>
      <c r="Q63" s="15" t="s">
        <v>269</v>
      </c>
      <c r="R63" s="15" t="s">
        <v>270</v>
      </c>
      <c r="S63" s="15">
        <v>7000</v>
      </c>
      <c r="T63" s="31" t="s">
        <v>271</v>
      </c>
      <c r="U63" s="33" t="s">
        <v>315</v>
      </c>
      <c r="V63" s="33" t="s">
        <v>316</v>
      </c>
    </row>
    <row r="64" ht="18" hidden="1" customHeight="1" spans="1:22">
      <c r="A64" s="11" t="s">
        <v>309</v>
      </c>
      <c r="B64" s="11" t="s">
        <v>261</v>
      </c>
      <c r="C64" s="11" t="str">
        <f t="shared" si="5"/>
        <v>Ural </v>
      </c>
      <c r="D64" s="15" t="s">
        <v>194</v>
      </c>
      <c r="E64" s="15">
        <v>1</v>
      </c>
      <c r="F64" s="23" t="s">
        <v>262</v>
      </c>
      <c r="G64" s="15" t="s">
        <v>310</v>
      </c>
      <c r="H64" s="15" t="s">
        <v>264</v>
      </c>
      <c r="I64" s="15" t="s">
        <v>264</v>
      </c>
      <c r="J64" s="15" t="s">
        <v>296</v>
      </c>
      <c r="K64" s="15">
        <v>1</v>
      </c>
      <c r="L64" s="15">
        <v>2000</v>
      </c>
      <c r="M64" s="15" t="s">
        <v>311</v>
      </c>
      <c r="N64" s="15" t="s">
        <v>312</v>
      </c>
      <c r="O64" s="23" t="s">
        <v>313</v>
      </c>
      <c r="P64" s="23" t="s">
        <v>314</v>
      </c>
      <c r="Q64" s="15" t="s">
        <v>269</v>
      </c>
      <c r="R64" s="15" t="s">
        <v>270</v>
      </c>
      <c r="S64" s="15">
        <v>7000</v>
      </c>
      <c r="T64" s="31" t="s">
        <v>271</v>
      </c>
      <c r="U64" s="33" t="s">
        <v>315</v>
      </c>
      <c r="V64" s="33" t="s">
        <v>316</v>
      </c>
    </row>
    <row r="65" ht="18" hidden="1" customHeight="1" spans="1:22">
      <c r="A65" s="11" t="s">
        <v>309</v>
      </c>
      <c r="B65" s="11" t="s">
        <v>261</v>
      </c>
      <c r="C65" s="11" t="str">
        <f t="shared" si="5"/>
        <v>ATC </v>
      </c>
      <c r="D65" s="15" t="s">
        <v>317</v>
      </c>
      <c r="E65" s="15">
        <v>3</v>
      </c>
      <c r="F65" s="23" t="s">
        <v>262</v>
      </c>
      <c r="G65" s="15" t="s">
        <v>318</v>
      </c>
      <c r="H65" s="15" t="s">
        <v>264</v>
      </c>
      <c r="I65" s="15" t="s">
        <v>264</v>
      </c>
      <c r="J65" s="15" t="s">
        <v>296</v>
      </c>
      <c r="K65" s="15">
        <v>1</v>
      </c>
      <c r="L65" s="15">
        <v>2000</v>
      </c>
      <c r="M65" s="15" t="s">
        <v>311</v>
      </c>
      <c r="N65" s="15" t="s">
        <v>312</v>
      </c>
      <c r="O65" s="23" t="s">
        <v>313</v>
      </c>
      <c r="P65" s="23" t="s">
        <v>314</v>
      </c>
      <c r="Q65" s="15" t="s">
        <v>269</v>
      </c>
      <c r="R65" s="15" t="s">
        <v>270</v>
      </c>
      <c r="S65" s="15">
        <v>7000</v>
      </c>
      <c r="T65" s="31" t="s">
        <v>271</v>
      </c>
      <c r="U65" s="33" t="s">
        <v>315</v>
      </c>
      <c r="V65" s="33" t="s">
        <v>316</v>
      </c>
    </row>
    <row r="66" ht="18" customHeight="1" spans="1:22">
      <c r="A66" s="11" t="s">
        <v>309</v>
      </c>
      <c r="B66" s="11" t="s">
        <v>261</v>
      </c>
      <c r="C66" s="11" t="str">
        <f t="shared" si="5"/>
        <v>RETS </v>
      </c>
      <c r="D66" s="15" t="s">
        <v>132</v>
      </c>
      <c r="E66" s="15">
        <v>4</v>
      </c>
      <c r="F66" s="23" t="s">
        <v>262</v>
      </c>
      <c r="G66" s="15" t="s">
        <v>310</v>
      </c>
      <c r="H66" s="15" t="s">
        <v>264</v>
      </c>
      <c r="I66" s="15" t="s">
        <v>264</v>
      </c>
      <c r="J66" s="15" t="s">
        <v>296</v>
      </c>
      <c r="K66" s="15">
        <v>1</v>
      </c>
      <c r="L66" s="15">
        <v>2000</v>
      </c>
      <c r="M66" s="15" t="s">
        <v>311</v>
      </c>
      <c r="N66" s="15" t="s">
        <v>312</v>
      </c>
      <c r="O66" s="23" t="s">
        <v>313</v>
      </c>
      <c r="P66" s="23" t="s">
        <v>314</v>
      </c>
      <c r="Q66" s="15" t="s">
        <v>269</v>
      </c>
      <c r="R66" s="15" t="s">
        <v>270</v>
      </c>
      <c r="S66" s="15">
        <v>7000</v>
      </c>
      <c r="T66" s="31" t="s">
        <v>271</v>
      </c>
      <c r="U66" s="33" t="s">
        <v>315</v>
      </c>
      <c r="V66" s="33" t="s">
        <v>316</v>
      </c>
    </row>
    <row r="67" ht="18" hidden="1" customHeight="1" spans="1:22">
      <c r="A67" s="11" t="s">
        <v>309</v>
      </c>
      <c r="B67" s="11" t="s">
        <v>261</v>
      </c>
      <c r="C67" s="11" t="str">
        <f t="shared" si="5"/>
        <v>GUOO </v>
      </c>
      <c r="D67" s="15" t="s">
        <v>75</v>
      </c>
      <c r="E67" s="15">
        <v>4</v>
      </c>
      <c r="F67" s="23" t="s">
        <v>262</v>
      </c>
      <c r="G67" s="15" t="s">
        <v>310</v>
      </c>
      <c r="H67" s="15" t="s">
        <v>264</v>
      </c>
      <c r="I67" s="15" t="s">
        <v>264</v>
      </c>
      <c r="J67" s="15" t="s">
        <v>296</v>
      </c>
      <c r="K67" s="15">
        <v>1</v>
      </c>
      <c r="L67" s="15">
        <v>2000</v>
      </c>
      <c r="M67" s="15" t="s">
        <v>311</v>
      </c>
      <c r="N67" s="15" t="s">
        <v>312</v>
      </c>
      <c r="O67" s="23" t="s">
        <v>313</v>
      </c>
      <c r="P67" s="23" t="s">
        <v>314</v>
      </c>
      <c r="Q67" s="15" t="s">
        <v>269</v>
      </c>
      <c r="R67" s="15" t="s">
        <v>270</v>
      </c>
      <c r="S67" s="15">
        <v>7000</v>
      </c>
      <c r="T67" s="31" t="s">
        <v>271</v>
      </c>
      <c r="U67" s="33" t="s">
        <v>315</v>
      </c>
      <c r="V67" s="33" t="s">
        <v>316</v>
      </c>
    </row>
    <row r="68" ht="24" hidden="1" spans="1:22">
      <c r="A68" s="11" t="s">
        <v>309</v>
      </c>
      <c r="B68" s="11" t="s">
        <v>261</v>
      </c>
      <c r="C68" s="11" t="str">
        <f t="shared" si="5"/>
        <v>GBS </v>
      </c>
      <c r="D68" s="15" t="s">
        <v>63</v>
      </c>
      <c r="E68" s="15">
        <v>6</v>
      </c>
      <c r="F68" s="23" t="s">
        <v>262</v>
      </c>
      <c r="G68" s="15" t="s">
        <v>319</v>
      </c>
      <c r="H68" s="15" t="s">
        <v>264</v>
      </c>
      <c r="I68" s="15" t="s">
        <v>264</v>
      </c>
      <c r="J68" s="15" t="s">
        <v>296</v>
      </c>
      <c r="K68" s="15">
        <v>1</v>
      </c>
      <c r="L68" s="15">
        <v>2000</v>
      </c>
      <c r="M68" s="15" t="s">
        <v>311</v>
      </c>
      <c r="N68" s="15" t="s">
        <v>312</v>
      </c>
      <c r="O68" s="23" t="s">
        <v>313</v>
      </c>
      <c r="P68" s="23" t="s">
        <v>314</v>
      </c>
      <c r="Q68" s="15" t="s">
        <v>269</v>
      </c>
      <c r="R68" s="15" t="s">
        <v>270</v>
      </c>
      <c r="S68" s="15">
        <v>7000</v>
      </c>
      <c r="T68" s="31" t="s">
        <v>271</v>
      </c>
      <c r="U68" s="33" t="s">
        <v>315</v>
      </c>
      <c r="V68" s="33" t="s">
        <v>316</v>
      </c>
    </row>
    <row r="69" ht="24" hidden="1" spans="1:22">
      <c r="A69" s="11" t="s">
        <v>309</v>
      </c>
      <c r="B69" s="11" t="s">
        <v>261</v>
      </c>
      <c r="C69" s="11" t="str">
        <f t="shared" si="5"/>
        <v>CEL </v>
      </c>
      <c r="D69" s="15" t="s">
        <v>51</v>
      </c>
      <c r="E69" s="15">
        <v>7</v>
      </c>
      <c r="F69" s="23" t="s">
        <v>262</v>
      </c>
      <c r="G69" s="15" t="s">
        <v>320</v>
      </c>
      <c r="H69" s="15" t="s">
        <v>264</v>
      </c>
      <c r="I69" s="15" t="s">
        <v>277</v>
      </c>
      <c r="J69" s="15" t="s">
        <v>296</v>
      </c>
      <c r="K69" s="15">
        <v>1</v>
      </c>
      <c r="L69" s="15">
        <v>2000</v>
      </c>
      <c r="M69" s="15" t="s">
        <v>311</v>
      </c>
      <c r="N69" s="15" t="s">
        <v>312</v>
      </c>
      <c r="O69" s="23" t="s">
        <v>313</v>
      </c>
      <c r="P69" s="23" t="s">
        <v>314</v>
      </c>
      <c r="Q69" s="15" t="s">
        <v>269</v>
      </c>
      <c r="R69" s="15" t="s">
        <v>270</v>
      </c>
      <c r="S69" s="15">
        <v>7000</v>
      </c>
      <c r="T69" s="31" t="s">
        <v>271</v>
      </c>
      <c r="U69" s="33" t="s">
        <v>315</v>
      </c>
      <c r="V69" s="33" t="s">
        <v>316</v>
      </c>
    </row>
    <row r="70" ht="18" hidden="1" customHeight="1" spans="1:22">
      <c r="A70" s="16" t="s">
        <v>278</v>
      </c>
      <c r="B70" s="16" t="s">
        <v>278</v>
      </c>
      <c r="C70" s="16" t="s">
        <v>278</v>
      </c>
      <c r="D70" s="16" t="s">
        <v>278</v>
      </c>
      <c r="E70" s="16" t="s">
        <v>279</v>
      </c>
      <c r="F70" s="16" t="s">
        <v>278</v>
      </c>
      <c r="G70" s="16" t="s">
        <v>278</v>
      </c>
      <c r="H70" s="16" t="s">
        <v>278</v>
      </c>
      <c r="I70" s="16" t="s">
        <v>278</v>
      </c>
      <c r="J70" s="16" t="s">
        <v>278</v>
      </c>
      <c r="K70" s="16" t="s">
        <v>278</v>
      </c>
      <c r="L70" s="16" t="s">
        <v>278</v>
      </c>
      <c r="M70" s="16"/>
      <c r="N70" s="16"/>
      <c r="O70" s="16"/>
      <c r="P70" s="16"/>
      <c r="Q70" s="16" t="s">
        <v>278</v>
      </c>
      <c r="R70" s="16" t="s">
        <v>278</v>
      </c>
      <c r="S70" s="16" t="s">
        <v>278</v>
      </c>
      <c r="T70" s="16" t="s">
        <v>278</v>
      </c>
      <c r="U70" s="16" t="s">
        <v>278</v>
      </c>
      <c r="V70" s="16" t="s">
        <v>278</v>
      </c>
    </row>
    <row r="71" ht="24" hidden="1" spans="1:22">
      <c r="A71" s="11" t="s">
        <v>309</v>
      </c>
      <c r="B71" s="11" t="s">
        <v>280</v>
      </c>
      <c r="C71" s="11" t="str">
        <f t="shared" ref="C71:C81" si="6">LEFT(D71,SEARCH(" ",D71))</f>
        <v>GBS </v>
      </c>
      <c r="D71" s="15" t="s">
        <v>66</v>
      </c>
      <c r="E71" s="15">
        <v>1</v>
      </c>
      <c r="F71" s="23" t="s">
        <v>281</v>
      </c>
      <c r="G71" s="15" t="s">
        <v>321</v>
      </c>
      <c r="H71" s="15" t="s">
        <v>277</v>
      </c>
      <c r="I71" s="15" t="s">
        <v>264</v>
      </c>
      <c r="J71" s="15" t="s">
        <v>296</v>
      </c>
      <c r="K71" s="15">
        <v>1</v>
      </c>
      <c r="L71" s="15">
        <v>2000</v>
      </c>
      <c r="M71" s="15" t="s">
        <v>311</v>
      </c>
      <c r="N71" s="15" t="s">
        <v>312</v>
      </c>
      <c r="O71" s="23" t="s">
        <v>313</v>
      </c>
      <c r="P71" s="23" t="s">
        <v>314</v>
      </c>
      <c r="Q71" s="15" t="s">
        <v>269</v>
      </c>
      <c r="R71" s="15" t="s">
        <v>270</v>
      </c>
      <c r="S71" s="15">
        <v>7000</v>
      </c>
      <c r="T71" s="31" t="s">
        <v>271</v>
      </c>
      <c r="U71" s="33" t="s">
        <v>315</v>
      </c>
      <c r="V71" s="33" t="s">
        <v>316</v>
      </c>
    </row>
    <row r="72" ht="24" spans="1:22">
      <c r="A72" s="11" t="s">
        <v>309</v>
      </c>
      <c r="B72" s="11" t="s">
        <v>280</v>
      </c>
      <c r="C72" s="11" t="str">
        <f t="shared" si="6"/>
        <v>RETS </v>
      </c>
      <c r="D72" s="15" t="s">
        <v>138</v>
      </c>
      <c r="E72" s="15">
        <v>2</v>
      </c>
      <c r="F72" s="23" t="s">
        <v>281</v>
      </c>
      <c r="G72" s="15" t="s">
        <v>322</v>
      </c>
      <c r="H72" s="15" t="s">
        <v>277</v>
      </c>
      <c r="I72" s="15" t="s">
        <v>264</v>
      </c>
      <c r="J72" s="15" t="s">
        <v>296</v>
      </c>
      <c r="K72" s="15">
        <v>1</v>
      </c>
      <c r="L72" s="15">
        <v>2000</v>
      </c>
      <c r="M72" s="15" t="s">
        <v>311</v>
      </c>
      <c r="N72" s="15" t="s">
        <v>312</v>
      </c>
      <c r="O72" s="23" t="s">
        <v>313</v>
      </c>
      <c r="P72" s="23" t="s">
        <v>314</v>
      </c>
      <c r="Q72" s="15" t="s">
        <v>269</v>
      </c>
      <c r="R72" s="15" t="s">
        <v>270</v>
      </c>
      <c r="S72" s="15">
        <v>7000</v>
      </c>
      <c r="T72" s="31" t="s">
        <v>271</v>
      </c>
      <c r="U72" s="33" t="s">
        <v>315</v>
      </c>
      <c r="V72" s="33" t="s">
        <v>316</v>
      </c>
    </row>
    <row r="73" ht="24" hidden="1" spans="1:22">
      <c r="A73" s="11" t="s">
        <v>309</v>
      </c>
      <c r="B73" s="11" t="s">
        <v>280</v>
      </c>
      <c r="C73" s="11" t="str">
        <f t="shared" si="6"/>
        <v>ZTO </v>
      </c>
      <c r="D73" s="15" t="s">
        <v>235</v>
      </c>
      <c r="E73" s="15">
        <v>2</v>
      </c>
      <c r="F73" s="23" t="s">
        <v>281</v>
      </c>
      <c r="G73" s="15" t="s">
        <v>322</v>
      </c>
      <c r="H73" s="15" t="s">
        <v>277</v>
      </c>
      <c r="I73" s="15" t="s">
        <v>264</v>
      </c>
      <c r="J73" s="15" t="s">
        <v>296</v>
      </c>
      <c r="K73" s="15">
        <v>1</v>
      </c>
      <c r="L73" s="15">
        <v>2000</v>
      </c>
      <c r="M73" s="15" t="s">
        <v>311</v>
      </c>
      <c r="N73" s="15" t="s">
        <v>312</v>
      </c>
      <c r="O73" s="23" t="s">
        <v>313</v>
      </c>
      <c r="P73" s="23" t="s">
        <v>314</v>
      </c>
      <c r="Q73" s="15" t="s">
        <v>269</v>
      </c>
      <c r="R73" s="15" t="s">
        <v>270</v>
      </c>
      <c r="S73" s="15">
        <v>7000</v>
      </c>
      <c r="T73" s="31" t="s">
        <v>271</v>
      </c>
      <c r="U73" s="33" t="s">
        <v>315</v>
      </c>
      <c r="V73" s="33" t="s">
        <v>316</v>
      </c>
    </row>
    <row r="74" ht="24" hidden="1" spans="1:22">
      <c r="A74" s="11" t="s">
        <v>309</v>
      </c>
      <c r="B74" s="11" t="s">
        <v>280</v>
      </c>
      <c r="C74" s="11" t="str">
        <f t="shared" si="6"/>
        <v>Ural </v>
      </c>
      <c r="D74" s="15" t="s">
        <v>200</v>
      </c>
      <c r="E74" s="15">
        <v>2</v>
      </c>
      <c r="F74" s="23" t="s">
        <v>281</v>
      </c>
      <c r="G74" s="15" t="s">
        <v>322</v>
      </c>
      <c r="H74" s="15" t="s">
        <v>277</v>
      </c>
      <c r="I74" s="15" t="s">
        <v>264</v>
      </c>
      <c r="J74" s="15" t="s">
        <v>296</v>
      </c>
      <c r="K74" s="15">
        <v>1</v>
      </c>
      <c r="L74" s="15">
        <v>2000</v>
      </c>
      <c r="M74" s="15" t="s">
        <v>311</v>
      </c>
      <c r="N74" s="15" t="s">
        <v>312</v>
      </c>
      <c r="O74" s="23" t="s">
        <v>313</v>
      </c>
      <c r="P74" s="23" t="s">
        <v>314</v>
      </c>
      <c r="Q74" s="15" t="s">
        <v>269</v>
      </c>
      <c r="R74" s="15" t="s">
        <v>270</v>
      </c>
      <c r="S74" s="15">
        <v>7000</v>
      </c>
      <c r="T74" s="31" t="s">
        <v>271</v>
      </c>
      <c r="U74" s="33" t="s">
        <v>315</v>
      </c>
      <c r="V74" s="33" t="s">
        <v>316</v>
      </c>
    </row>
    <row r="75" ht="24" hidden="1" spans="1:22">
      <c r="A75" s="11" t="s">
        <v>309</v>
      </c>
      <c r="B75" s="11" t="s">
        <v>280</v>
      </c>
      <c r="C75" s="11" t="str">
        <f t="shared" si="6"/>
        <v>OYX </v>
      </c>
      <c r="D75" s="15" t="s">
        <v>120</v>
      </c>
      <c r="E75" s="15">
        <v>5</v>
      </c>
      <c r="F75" s="23" t="s">
        <v>281</v>
      </c>
      <c r="G75" s="15" t="s">
        <v>323</v>
      </c>
      <c r="H75" s="15" t="s">
        <v>277</v>
      </c>
      <c r="I75" s="15" t="s">
        <v>277</v>
      </c>
      <c r="J75" s="15" t="s">
        <v>296</v>
      </c>
      <c r="K75" s="15">
        <v>1</v>
      </c>
      <c r="L75" s="15">
        <v>2000</v>
      </c>
      <c r="M75" s="15" t="s">
        <v>311</v>
      </c>
      <c r="N75" s="15" t="s">
        <v>312</v>
      </c>
      <c r="O75" s="23" t="s">
        <v>313</v>
      </c>
      <c r="P75" s="23" t="s">
        <v>314</v>
      </c>
      <c r="Q75" s="15" t="s">
        <v>269</v>
      </c>
      <c r="R75" s="15" t="s">
        <v>270</v>
      </c>
      <c r="S75" s="15">
        <v>7000</v>
      </c>
      <c r="T75" s="31" t="s">
        <v>271</v>
      </c>
      <c r="U75" s="33" t="s">
        <v>315</v>
      </c>
      <c r="V75" s="33" t="s">
        <v>316</v>
      </c>
    </row>
    <row r="76" ht="24" hidden="1" spans="1:22">
      <c r="A76" s="11" t="s">
        <v>309</v>
      </c>
      <c r="B76" s="11" t="s">
        <v>280</v>
      </c>
      <c r="C76" s="11" t="str">
        <f t="shared" si="6"/>
        <v>ABT </v>
      </c>
      <c r="D76" s="15" t="s">
        <v>27</v>
      </c>
      <c r="E76" s="15">
        <v>5</v>
      </c>
      <c r="F76" s="23" t="s">
        <v>281</v>
      </c>
      <c r="G76" s="15" t="s">
        <v>323</v>
      </c>
      <c r="H76" s="15" t="s">
        <v>277</v>
      </c>
      <c r="I76" s="15" t="s">
        <v>277</v>
      </c>
      <c r="J76" s="15" t="s">
        <v>296</v>
      </c>
      <c r="K76" s="15">
        <v>1</v>
      </c>
      <c r="L76" s="15">
        <v>2000</v>
      </c>
      <c r="M76" s="15" t="s">
        <v>311</v>
      </c>
      <c r="N76" s="15" t="s">
        <v>312</v>
      </c>
      <c r="O76" s="23" t="s">
        <v>313</v>
      </c>
      <c r="P76" s="23" t="s">
        <v>314</v>
      </c>
      <c r="Q76" s="15" t="s">
        <v>269</v>
      </c>
      <c r="R76" s="15" t="s">
        <v>270</v>
      </c>
      <c r="S76" s="15">
        <v>7000</v>
      </c>
      <c r="T76" s="31" t="s">
        <v>271</v>
      </c>
      <c r="U76" s="33" t="s">
        <v>315</v>
      </c>
      <c r="V76" s="33" t="s">
        <v>316</v>
      </c>
    </row>
    <row r="77" ht="24" hidden="1" spans="1:22">
      <c r="A77" s="11" t="s">
        <v>309</v>
      </c>
      <c r="B77" s="11" t="s">
        <v>280</v>
      </c>
      <c r="C77" s="11" t="str">
        <f t="shared" si="6"/>
        <v>Xingyuan </v>
      </c>
      <c r="D77" s="15" t="s">
        <v>218</v>
      </c>
      <c r="E77" s="15">
        <v>5</v>
      </c>
      <c r="F77" s="23" t="s">
        <v>281</v>
      </c>
      <c r="G77" s="15" t="s">
        <v>323</v>
      </c>
      <c r="H77" s="15" t="s">
        <v>277</v>
      </c>
      <c r="I77" s="15" t="s">
        <v>277</v>
      </c>
      <c r="J77" s="15" t="s">
        <v>296</v>
      </c>
      <c r="K77" s="15">
        <v>1</v>
      </c>
      <c r="L77" s="15">
        <v>2000</v>
      </c>
      <c r="M77" s="15" t="s">
        <v>311</v>
      </c>
      <c r="N77" s="15" t="s">
        <v>312</v>
      </c>
      <c r="O77" s="23" t="s">
        <v>313</v>
      </c>
      <c r="P77" s="23" t="s">
        <v>314</v>
      </c>
      <c r="Q77" s="15" t="s">
        <v>269</v>
      </c>
      <c r="R77" s="15" t="s">
        <v>270</v>
      </c>
      <c r="S77" s="15">
        <v>7000</v>
      </c>
      <c r="T77" s="31" t="s">
        <v>271</v>
      </c>
      <c r="U77" s="33" t="s">
        <v>315</v>
      </c>
      <c r="V77" s="33" t="s">
        <v>316</v>
      </c>
    </row>
    <row r="78" ht="24" hidden="1" spans="1:22">
      <c r="A78" s="11" t="s">
        <v>309</v>
      </c>
      <c r="B78" s="11" t="s">
        <v>280</v>
      </c>
      <c r="C78" s="11" t="str">
        <f t="shared" si="6"/>
        <v>ATC </v>
      </c>
      <c r="D78" s="15" t="s">
        <v>39</v>
      </c>
      <c r="E78" s="15">
        <v>8</v>
      </c>
      <c r="F78" s="23" t="s">
        <v>281</v>
      </c>
      <c r="G78" s="15" t="s">
        <v>324</v>
      </c>
      <c r="H78" s="15" t="s">
        <v>277</v>
      </c>
      <c r="I78" s="15" t="s">
        <v>264</v>
      </c>
      <c r="J78" s="15" t="s">
        <v>296</v>
      </c>
      <c r="K78" s="15">
        <v>1</v>
      </c>
      <c r="L78" s="15">
        <v>2000</v>
      </c>
      <c r="M78" s="15" t="s">
        <v>311</v>
      </c>
      <c r="N78" s="15" t="s">
        <v>312</v>
      </c>
      <c r="O78" s="23" t="s">
        <v>313</v>
      </c>
      <c r="P78" s="23" t="s">
        <v>314</v>
      </c>
      <c r="Q78" s="15" t="s">
        <v>269</v>
      </c>
      <c r="R78" s="15" t="s">
        <v>270</v>
      </c>
      <c r="S78" s="15">
        <v>7000</v>
      </c>
      <c r="T78" s="31" t="s">
        <v>271</v>
      </c>
      <c r="U78" s="33" t="s">
        <v>315</v>
      </c>
      <c r="V78" s="33" t="s">
        <v>316</v>
      </c>
    </row>
    <row r="79" ht="24" hidden="1" spans="1:22">
      <c r="A79" s="11" t="s">
        <v>309</v>
      </c>
      <c r="B79" s="11" t="s">
        <v>280</v>
      </c>
      <c r="C79" s="11" t="str">
        <f t="shared" si="6"/>
        <v>CEL </v>
      </c>
      <c r="D79" s="15" t="s">
        <v>57</v>
      </c>
      <c r="E79" s="15">
        <v>9</v>
      </c>
      <c r="F79" s="23" t="s">
        <v>281</v>
      </c>
      <c r="G79" s="15" t="s">
        <v>323</v>
      </c>
      <c r="H79" s="15" t="s">
        <v>277</v>
      </c>
      <c r="I79" s="15" t="s">
        <v>277</v>
      </c>
      <c r="J79" s="15" t="s">
        <v>296</v>
      </c>
      <c r="K79" s="15">
        <v>1</v>
      </c>
      <c r="L79" s="15">
        <v>2000</v>
      </c>
      <c r="M79" s="15" t="s">
        <v>311</v>
      </c>
      <c r="N79" s="15" t="s">
        <v>312</v>
      </c>
      <c r="O79" s="23" t="s">
        <v>313</v>
      </c>
      <c r="P79" s="23" t="s">
        <v>314</v>
      </c>
      <c r="Q79" s="15" t="s">
        <v>269</v>
      </c>
      <c r="R79" s="15" t="s">
        <v>270</v>
      </c>
      <c r="S79" s="15">
        <v>7000</v>
      </c>
      <c r="T79" s="31" t="s">
        <v>271</v>
      </c>
      <c r="U79" s="33" t="s">
        <v>315</v>
      </c>
      <c r="V79" s="33" t="s">
        <v>316</v>
      </c>
    </row>
    <row r="80" ht="24" hidden="1" spans="1:22">
      <c r="A80" s="11" t="s">
        <v>309</v>
      </c>
      <c r="B80" s="11" t="s">
        <v>280</v>
      </c>
      <c r="C80" s="11" t="str">
        <f t="shared" si="6"/>
        <v>GUOO </v>
      </c>
      <c r="D80" s="15" t="s">
        <v>81</v>
      </c>
      <c r="E80" s="15">
        <v>9</v>
      </c>
      <c r="F80" s="23" t="s">
        <v>281</v>
      </c>
      <c r="G80" s="15" t="s">
        <v>322</v>
      </c>
      <c r="H80" s="15" t="s">
        <v>277</v>
      </c>
      <c r="I80" s="15" t="s">
        <v>277</v>
      </c>
      <c r="J80" s="15" t="s">
        <v>296</v>
      </c>
      <c r="K80" s="15">
        <v>1</v>
      </c>
      <c r="L80" s="15">
        <v>2000</v>
      </c>
      <c r="M80" s="15" t="s">
        <v>311</v>
      </c>
      <c r="N80" s="15" t="s">
        <v>312</v>
      </c>
      <c r="O80" s="23" t="s">
        <v>313</v>
      </c>
      <c r="P80" s="23" t="s">
        <v>314</v>
      </c>
      <c r="Q80" s="15" t="s">
        <v>269</v>
      </c>
      <c r="R80" s="15" t="s">
        <v>270</v>
      </c>
      <c r="S80" s="15">
        <v>7000</v>
      </c>
      <c r="T80" s="31" t="s">
        <v>271</v>
      </c>
      <c r="U80" s="33" t="s">
        <v>315</v>
      </c>
      <c r="V80" s="33" t="s">
        <v>316</v>
      </c>
    </row>
    <row r="81" ht="24" hidden="1" spans="1:22">
      <c r="A81" s="11" t="s">
        <v>309</v>
      </c>
      <c r="B81" s="11" t="s">
        <v>280</v>
      </c>
      <c r="C81" s="11" t="str">
        <f t="shared" si="6"/>
        <v>Tanais </v>
      </c>
      <c r="D81" s="15" t="s">
        <v>152</v>
      </c>
      <c r="E81" s="15">
        <v>11</v>
      </c>
      <c r="F81" s="23" t="s">
        <v>281</v>
      </c>
      <c r="G81" s="15" t="s">
        <v>325</v>
      </c>
      <c r="H81" s="15" t="s">
        <v>264</v>
      </c>
      <c r="I81" s="15" t="s">
        <v>264</v>
      </c>
      <c r="J81" s="15" t="s">
        <v>296</v>
      </c>
      <c r="K81" s="15">
        <v>1</v>
      </c>
      <c r="L81" s="15">
        <v>2000</v>
      </c>
      <c r="M81" s="15" t="s">
        <v>311</v>
      </c>
      <c r="N81" s="15" t="s">
        <v>312</v>
      </c>
      <c r="O81" s="23" t="s">
        <v>313</v>
      </c>
      <c r="P81" s="23" t="s">
        <v>314</v>
      </c>
      <c r="Q81" s="15" t="s">
        <v>269</v>
      </c>
      <c r="R81" s="15" t="s">
        <v>270</v>
      </c>
      <c r="S81" s="15">
        <v>7000</v>
      </c>
      <c r="T81" s="31" t="s">
        <v>271</v>
      </c>
      <c r="U81" s="33" t="s">
        <v>315</v>
      </c>
      <c r="V81" s="33" t="s">
        <v>316</v>
      </c>
    </row>
    <row r="82" ht="18" hidden="1" customHeight="1" spans="1:22">
      <c r="A82" s="16" t="s">
        <v>278</v>
      </c>
      <c r="B82" s="16" t="s">
        <v>278</v>
      </c>
      <c r="C82" s="16" t="s">
        <v>278</v>
      </c>
      <c r="D82" s="16" t="s">
        <v>278</v>
      </c>
      <c r="E82" s="16" t="s">
        <v>279</v>
      </c>
      <c r="F82" s="16" t="s">
        <v>278</v>
      </c>
      <c r="G82" s="16" t="s">
        <v>278</v>
      </c>
      <c r="H82" s="16" t="s">
        <v>278</v>
      </c>
      <c r="I82" s="16" t="s">
        <v>278</v>
      </c>
      <c r="J82" s="16" t="s">
        <v>278</v>
      </c>
      <c r="K82" s="16" t="s">
        <v>278</v>
      </c>
      <c r="L82" s="16" t="s">
        <v>278</v>
      </c>
      <c r="M82" s="16"/>
      <c r="N82" s="16"/>
      <c r="O82" s="16"/>
      <c r="P82" s="16"/>
      <c r="Q82" s="16" t="s">
        <v>278</v>
      </c>
      <c r="R82" s="16" t="s">
        <v>278</v>
      </c>
      <c r="S82" s="16" t="s">
        <v>278</v>
      </c>
      <c r="T82" s="16" t="s">
        <v>278</v>
      </c>
      <c r="U82" s="16" t="s">
        <v>278</v>
      </c>
      <c r="V82" s="16" t="s">
        <v>278</v>
      </c>
    </row>
    <row r="83" ht="24" hidden="1" spans="1:22">
      <c r="A83" s="11" t="s">
        <v>309</v>
      </c>
      <c r="B83" s="11" t="s">
        <v>287</v>
      </c>
      <c r="C83" s="11" t="str">
        <f t="shared" ref="C83:C93" si="7">LEFT(D83,SEARCH(" ",D83))</f>
        <v>GBS </v>
      </c>
      <c r="D83" s="15" t="s">
        <v>60</v>
      </c>
      <c r="E83" s="15">
        <v>1</v>
      </c>
      <c r="F83" s="23" t="s">
        <v>326</v>
      </c>
      <c r="G83" s="15" t="s">
        <v>327</v>
      </c>
      <c r="H83" s="15" t="s">
        <v>277</v>
      </c>
      <c r="I83" s="15" t="s">
        <v>264</v>
      </c>
      <c r="J83" s="15" t="s">
        <v>296</v>
      </c>
      <c r="K83" s="15">
        <v>1</v>
      </c>
      <c r="L83" s="15">
        <v>2000</v>
      </c>
      <c r="M83" s="15" t="s">
        <v>311</v>
      </c>
      <c r="N83" s="15" t="s">
        <v>312</v>
      </c>
      <c r="O83" s="23" t="s">
        <v>313</v>
      </c>
      <c r="P83" s="23" t="s">
        <v>314</v>
      </c>
      <c r="Q83" s="15" t="s">
        <v>269</v>
      </c>
      <c r="R83" s="15" t="s">
        <v>270</v>
      </c>
      <c r="S83" s="15">
        <v>7000</v>
      </c>
      <c r="T83" s="31" t="s">
        <v>271</v>
      </c>
      <c r="U83" s="33" t="s">
        <v>315</v>
      </c>
      <c r="V83" s="33" t="s">
        <v>316</v>
      </c>
    </row>
    <row r="84" ht="24" hidden="1" spans="1:22">
      <c r="A84" s="11" t="s">
        <v>309</v>
      </c>
      <c r="B84" s="11" t="s">
        <v>287</v>
      </c>
      <c r="C84" s="11" t="str">
        <f t="shared" si="7"/>
        <v>ZTO </v>
      </c>
      <c r="D84" s="15" t="s">
        <v>222</v>
      </c>
      <c r="E84" s="15">
        <v>2</v>
      </c>
      <c r="F84" s="23" t="s">
        <v>326</v>
      </c>
      <c r="G84" s="15" t="s">
        <v>328</v>
      </c>
      <c r="H84" s="15" t="s">
        <v>277</v>
      </c>
      <c r="I84" s="15" t="s">
        <v>264</v>
      </c>
      <c r="J84" s="15" t="s">
        <v>296</v>
      </c>
      <c r="K84" s="15">
        <v>1</v>
      </c>
      <c r="L84" s="15">
        <v>2000</v>
      </c>
      <c r="M84" s="15" t="s">
        <v>311</v>
      </c>
      <c r="N84" s="15" t="s">
        <v>312</v>
      </c>
      <c r="O84" s="23" t="s">
        <v>313</v>
      </c>
      <c r="P84" s="23" t="s">
        <v>314</v>
      </c>
      <c r="Q84" s="15" t="s">
        <v>269</v>
      </c>
      <c r="R84" s="15" t="s">
        <v>270</v>
      </c>
      <c r="S84" s="15">
        <v>7000</v>
      </c>
      <c r="T84" s="31" t="s">
        <v>271</v>
      </c>
      <c r="U84" s="33" t="s">
        <v>315</v>
      </c>
      <c r="V84" s="33" t="s">
        <v>316</v>
      </c>
    </row>
    <row r="85" ht="24" hidden="1" spans="1:22">
      <c r="A85" s="11" t="s">
        <v>309</v>
      </c>
      <c r="B85" s="11" t="s">
        <v>287</v>
      </c>
      <c r="C85" s="11" t="str">
        <f t="shared" si="7"/>
        <v>Ural </v>
      </c>
      <c r="D85" s="15" t="s">
        <v>188</v>
      </c>
      <c r="E85" s="15">
        <v>2</v>
      </c>
      <c r="F85" s="23" t="s">
        <v>326</v>
      </c>
      <c r="G85" s="15" t="s">
        <v>328</v>
      </c>
      <c r="H85" s="15" t="s">
        <v>277</v>
      </c>
      <c r="I85" s="15" t="s">
        <v>277</v>
      </c>
      <c r="J85" s="15" t="s">
        <v>296</v>
      </c>
      <c r="K85" s="15">
        <v>1</v>
      </c>
      <c r="L85" s="15">
        <v>2000</v>
      </c>
      <c r="M85" s="15" t="s">
        <v>311</v>
      </c>
      <c r="N85" s="15" t="s">
        <v>312</v>
      </c>
      <c r="O85" s="23" t="s">
        <v>313</v>
      </c>
      <c r="P85" s="23" t="s">
        <v>314</v>
      </c>
      <c r="Q85" s="15" t="s">
        <v>269</v>
      </c>
      <c r="R85" s="15" t="s">
        <v>270</v>
      </c>
      <c r="S85" s="15">
        <v>7000</v>
      </c>
      <c r="T85" s="31" t="s">
        <v>271</v>
      </c>
      <c r="U85" s="33" t="s">
        <v>315</v>
      </c>
      <c r="V85" s="33" t="s">
        <v>316</v>
      </c>
    </row>
    <row r="86" ht="24" spans="1:22">
      <c r="A86" s="11" t="s">
        <v>309</v>
      </c>
      <c r="B86" s="11" t="s">
        <v>287</v>
      </c>
      <c r="C86" s="11" t="str">
        <f t="shared" si="7"/>
        <v>RETS </v>
      </c>
      <c r="D86" s="15" t="s">
        <v>126</v>
      </c>
      <c r="E86" s="15">
        <v>2</v>
      </c>
      <c r="F86" s="23" t="s">
        <v>326</v>
      </c>
      <c r="G86" s="15" t="s">
        <v>328</v>
      </c>
      <c r="H86" s="15" t="s">
        <v>277</v>
      </c>
      <c r="I86" s="15" t="s">
        <v>277</v>
      </c>
      <c r="J86" s="15" t="s">
        <v>296</v>
      </c>
      <c r="K86" s="15">
        <v>1</v>
      </c>
      <c r="L86" s="15">
        <v>2000</v>
      </c>
      <c r="M86" s="15" t="s">
        <v>311</v>
      </c>
      <c r="N86" s="15" t="s">
        <v>312</v>
      </c>
      <c r="O86" s="23" t="s">
        <v>313</v>
      </c>
      <c r="P86" s="23" t="s">
        <v>314</v>
      </c>
      <c r="Q86" s="15" t="s">
        <v>269</v>
      </c>
      <c r="R86" s="15" t="s">
        <v>270</v>
      </c>
      <c r="S86" s="15">
        <v>7000</v>
      </c>
      <c r="T86" s="31" t="s">
        <v>271</v>
      </c>
      <c r="U86" s="33" t="s">
        <v>315</v>
      </c>
      <c r="V86" s="33" t="s">
        <v>316</v>
      </c>
    </row>
    <row r="87" ht="24" hidden="1" spans="1:22">
      <c r="A87" s="11" t="s">
        <v>309</v>
      </c>
      <c r="B87" s="11" t="s">
        <v>287</v>
      </c>
      <c r="C87" s="11" t="str">
        <f t="shared" si="7"/>
        <v>OYX </v>
      </c>
      <c r="D87" s="15" t="s">
        <v>108</v>
      </c>
      <c r="E87" s="15">
        <v>5</v>
      </c>
      <c r="F87" s="23" t="s">
        <v>326</v>
      </c>
      <c r="G87" s="15" t="s">
        <v>329</v>
      </c>
      <c r="H87" s="15" t="s">
        <v>277</v>
      </c>
      <c r="I87" s="15" t="s">
        <v>277</v>
      </c>
      <c r="J87" s="15" t="s">
        <v>296</v>
      </c>
      <c r="K87" s="15">
        <v>1</v>
      </c>
      <c r="L87" s="15">
        <v>2000</v>
      </c>
      <c r="M87" s="15" t="s">
        <v>311</v>
      </c>
      <c r="N87" s="15" t="s">
        <v>312</v>
      </c>
      <c r="O87" s="23" t="s">
        <v>313</v>
      </c>
      <c r="P87" s="23" t="s">
        <v>314</v>
      </c>
      <c r="Q87" s="15" t="s">
        <v>269</v>
      </c>
      <c r="R87" s="15" t="s">
        <v>270</v>
      </c>
      <c r="S87" s="15">
        <v>7000</v>
      </c>
      <c r="T87" s="31" t="s">
        <v>271</v>
      </c>
      <c r="U87" s="33" t="s">
        <v>315</v>
      </c>
      <c r="V87" s="33" t="s">
        <v>316</v>
      </c>
    </row>
    <row r="88" ht="24" hidden="1" spans="1:22">
      <c r="A88" s="11" t="s">
        <v>309</v>
      </c>
      <c r="B88" s="11" t="s">
        <v>287</v>
      </c>
      <c r="C88" s="11" t="str">
        <f t="shared" si="7"/>
        <v>ABT </v>
      </c>
      <c r="D88" s="15" t="s">
        <v>15</v>
      </c>
      <c r="E88" s="15">
        <v>5</v>
      </c>
      <c r="F88" s="23" t="s">
        <v>326</v>
      </c>
      <c r="G88" s="15" t="s">
        <v>329</v>
      </c>
      <c r="H88" s="15" t="s">
        <v>277</v>
      </c>
      <c r="I88" s="15" t="s">
        <v>277</v>
      </c>
      <c r="J88" s="15" t="s">
        <v>296</v>
      </c>
      <c r="K88" s="15">
        <v>1</v>
      </c>
      <c r="L88" s="15">
        <v>2000</v>
      </c>
      <c r="M88" s="15" t="s">
        <v>311</v>
      </c>
      <c r="N88" s="15" t="s">
        <v>312</v>
      </c>
      <c r="O88" s="23" t="s">
        <v>313</v>
      </c>
      <c r="P88" s="23" t="s">
        <v>314</v>
      </c>
      <c r="Q88" s="15" t="s">
        <v>269</v>
      </c>
      <c r="R88" s="15" t="s">
        <v>270</v>
      </c>
      <c r="S88" s="15">
        <v>7000</v>
      </c>
      <c r="T88" s="31" t="s">
        <v>271</v>
      </c>
      <c r="U88" s="33" t="s">
        <v>315</v>
      </c>
      <c r="V88" s="33" t="s">
        <v>316</v>
      </c>
    </row>
    <row r="89" ht="24" hidden="1" spans="1:22">
      <c r="A89" s="11" t="s">
        <v>309</v>
      </c>
      <c r="B89" s="11" t="s">
        <v>287</v>
      </c>
      <c r="C89" s="11" t="str">
        <f t="shared" si="7"/>
        <v>Xingyuan </v>
      </c>
      <c r="D89" s="15" t="s">
        <v>206</v>
      </c>
      <c r="E89" s="15">
        <v>5</v>
      </c>
      <c r="F89" s="23" t="s">
        <v>326</v>
      </c>
      <c r="G89" s="15" t="s">
        <v>329</v>
      </c>
      <c r="H89" s="15" t="s">
        <v>277</v>
      </c>
      <c r="I89" s="15" t="s">
        <v>277</v>
      </c>
      <c r="J89" s="15" t="s">
        <v>296</v>
      </c>
      <c r="K89" s="15">
        <v>1</v>
      </c>
      <c r="L89" s="15">
        <v>2000</v>
      </c>
      <c r="M89" s="15" t="s">
        <v>311</v>
      </c>
      <c r="N89" s="15" t="s">
        <v>312</v>
      </c>
      <c r="O89" s="23" t="s">
        <v>313</v>
      </c>
      <c r="P89" s="23" t="s">
        <v>314</v>
      </c>
      <c r="Q89" s="15" t="s">
        <v>269</v>
      </c>
      <c r="R89" s="15" t="s">
        <v>270</v>
      </c>
      <c r="S89" s="15">
        <v>7000</v>
      </c>
      <c r="T89" s="31" t="s">
        <v>271</v>
      </c>
      <c r="U89" s="33" t="s">
        <v>315</v>
      </c>
      <c r="V89" s="33" t="s">
        <v>316</v>
      </c>
    </row>
    <row r="90" ht="24" hidden="1" spans="1:22">
      <c r="A90" s="11" t="s">
        <v>309</v>
      </c>
      <c r="B90" s="11" t="s">
        <v>287</v>
      </c>
      <c r="C90" s="11" t="str">
        <f t="shared" si="7"/>
        <v>CEL </v>
      </c>
      <c r="D90" s="15" t="s">
        <v>45</v>
      </c>
      <c r="E90" s="15">
        <v>5</v>
      </c>
      <c r="F90" s="23" t="s">
        <v>326</v>
      </c>
      <c r="G90" s="15" t="s">
        <v>329</v>
      </c>
      <c r="H90" s="15" t="s">
        <v>277</v>
      </c>
      <c r="I90" s="15" t="s">
        <v>277</v>
      </c>
      <c r="J90" s="15" t="s">
        <v>296</v>
      </c>
      <c r="K90" s="15">
        <v>1</v>
      </c>
      <c r="L90" s="15">
        <v>2000</v>
      </c>
      <c r="M90" s="15" t="s">
        <v>311</v>
      </c>
      <c r="N90" s="15" t="s">
        <v>312</v>
      </c>
      <c r="O90" s="23" t="s">
        <v>313</v>
      </c>
      <c r="P90" s="23" t="s">
        <v>314</v>
      </c>
      <c r="Q90" s="15" t="s">
        <v>269</v>
      </c>
      <c r="R90" s="15" t="s">
        <v>270</v>
      </c>
      <c r="S90" s="15">
        <v>7000</v>
      </c>
      <c r="T90" s="31" t="s">
        <v>271</v>
      </c>
      <c r="U90" s="33" t="s">
        <v>315</v>
      </c>
      <c r="V90" s="33" t="s">
        <v>316</v>
      </c>
    </row>
    <row r="91" ht="24" hidden="1" spans="1:22">
      <c r="A91" s="11" t="s">
        <v>309</v>
      </c>
      <c r="B91" s="11" t="s">
        <v>287</v>
      </c>
      <c r="C91" s="11" t="str">
        <f t="shared" si="7"/>
        <v>Tanais </v>
      </c>
      <c r="D91" s="15" t="s">
        <v>143</v>
      </c>
      <c r="E91" s="15">
        <v>9</v>
      </c>
      <c r="F91" s="23" t="s">
        <v>326</v>
      </c>
      <c r="G91" s="15" t="s">
        <v>330</v>
      </c>
      <c r="H91" s="15" t="s">
        <v>264</v>
      </c>
      <c r="I91" s="15" t="s">
        <v>264</v>
      </c>
      <c r="J91" s="15" t="s">
        <v>296</v>
      </c>
      <c r="K91" s="15">
        <v>1</v>
      </c>
      <c r="L91" s="15">
        <v>2000</v>
      </c>
      <c r="M91" s="15" t="s">
        <v>311</v>
      </c>
      <c r="N91" s="15" t="s">
        <v>312</v>
      </c>
      <c r="O91" s="23" t="s">
        <v>313</v>
      </c>
      <c r="P91" s="23" t="s">
        <v>314</v>
      </c>
      <c r="Q91" s="15" t="s">
        <v>269</v>
      </c>
      <c r="R91" s="15" t="s">
        <v>270</v>
      </c>
      <c r="S91" s="15">
        <v>7000</v>
      </c>
      <c r="T91" s="31" t="s">
        <v>271</v>
      </c>
      <c r="U91" s="33" t="s">
        <v>315</v>
      </c>
      <c r="V91" s="33" t="s">
        <v>316</v>
      </c>
    </row>
    <row r="92" ht="24" hidden="1" spans="1:22">
      <c r="A92" s="11" t="s">
        <v>309</v>
      </c>
      <c r="B92" s="11" t="s">
        <v>287</v>
      </c>
      <c r="C92" s="11" t="str">
        <f t="shared" si="7"/>
        <v>ATC </v>
      </c>
      <c r="D92" s="15" t="s">
        <v>33</v>
      </c>
      <c r="E92" s="15">
        <v>10</v>
      </c>
      <c r="F92" s="23" t="s">
        <v>326</v>
      </c>
      <c r="G92" s="15" t="s">
        <v>331</v>
      </c>
      <c r="H92" s="15" t="s">
        <v>277</v>
      </c>
      <c r="I92" s="15" t="s">
        <v>264</v>
      </c>
      <c r="J92" s="15" t="s">
        <v>296</v>
      </c>
      <c r="K92" s="15">
        <v>1</v>
      </c>
      <c r="L92" s="15">
        <v>2000</v>
      </c>
      <c r="M92" s="15" t="s">
        <v>311</v>
      </c>
      <c r="N92" s="15" t="s">
        <v>312</v>
      </c>
      <c r="O92" s="23" t="s">
        <v>313</v>
      </c>
      <c r="P92" s="23" t="s">
        <v>314</v>
      </c>
      <c r="Q92" s="15" t="s">
        <v>269</v>
      </c>
      <c r="R92" s="15" t="s">
        <v>270</v>
      </c>
      <c r="S92" s="15">
        <v>7000</v>
      </c>
      <c r="T92" s="31" t="s">
        <v>271</v>
      </c>
      <c r="U92" s="33" t="s">
        <v>315</v>
      </c>
      <c r="V92" s="33" t="s">
        <v>316</v>
      </c>
    </row>
    <row r="93" ht="18" hidden="1" customHeight="1" spans="1:22">
      <c r="A93" s="11" t="s">
        <v>309</v>
      </c>
      <c r="B93" s="11" t="s">
        <v>287</v>
      </c>
      <c r="C93" s="11" t="str">
        <f t="shared" si="7"/>
        <v>GUOO </v>
      </c>
      <c r="D93" s="15" t="s">
        <v>72</v>
      </c>
      <c r="E93" s="15">
        <v>11</v>
      </c>
      <c r="F93" s="23" t="s">
        <v>326</v>
      </c>
      <c r="G93" s="15" t="s">
        <v>328</v>
      </c>
      <c r="H93" s="15" t="s">
        <v>277</v>
      </c>
      <c r="I93" s="15" t="s">
        <v>277</v>
      </c>
      <c r="J93" s="15" t="s">
        <v>296</v>
      </c>
      <c r="K93" s="15">
        <v>1</v>
      </c>
      <c r="L93" s="15">
        <v>2000</v>
      </c>
      <c r="M93" s="15" t="s">
        <v>311</v>
      </c>
      <c r="N93" s="15" t="s">
        <v>312</v>
      </c>
      <c r="O93" s="23" t="s">
        <v>313</v>
      </c>
      <c r="P93" s="23" t="s">
        <v>314</v>
      </c>
      <c r="Q93" s="15" t="s">
        <v>269</v>
      </c>
      <c r="R93" s="15" t="s">
        <v>270</v>
      </c>
      <c r="S93" s="15">
        <v>7000</v>
      </c>
      <c r="T93" s="31" t="s">
        <v>271</v>
      </c>
      <c r="U93" s="33" t="s">
        <v>315</v>
      </c>
      <c r="V93" s="33" t="s">
        <v>316</v>
      </c>
    </row>
    <row r="94" ht="18" hidden="1" customHeight="1" spans="1:22">
      <c r="A94" s="16" t="s">
        <v>278</v>
      </c>
      <c r="B94" s="16" t="s">
        <v>278</v>
      </c>
      <c r="C94" s="16" t="s">
        <v>278</v>
      </c>
      <c r="D94" s="16" t="s">
        <v>278</v>
      </c>
      <c r="E94" s="16" t="s">
        <v>279</v>
      </c>
      <c r="F94" s="16" t="s">
        <v>278</v>
      </c>
      <c r="G94" s="16" t="s">
        <v>278</v>
      </c>
      <c r="H94" s="16" t="s">
        <v>278</v>
      </c>
      <c r="I94" s="16" t="s">
        <v>278</v>
      </c>
      <c r="J94" s="16" t="s">
        <v>278</v>
      </c>
      <c r="K94" s="16" t="s">
        <v>278</v>
      </c>
      <c r="L94" s="16" t="s">
        <v>278</v>
      </c>
      <c r="M94" s="16"/>
      <c r="N94" s="16"/>
      <c r="O94" s="16"/>
      <c r="P94" s="16"/>
      <c r="Q94" s="16" t="s">
        <v>278</v>
      </c>
      <c r="R94" s="16" t="s">
        <v>278</v>
      </c>
      <c r="S94" s="16" t="s">
        <v>278</v>
      </c>
      <c r="T94" s="16" t="s">
        <v>278</v>
      </c>
      <c r="U94" s="16" t="s">
        <v>278</v>
      </c>
      <c r="V94" s="16" t="s">
        <v>278</v>
      </c>
    </row>
    <row r="95" ht="24" hidden="1" spans="1:22">
      <c r="A95" s="11" t="s">
        <v>332</v>
      </c>
      <c r="B95" s="11" t="s">
        <v>261</v>
      </c>
      <c r="C95" s="11" t="str">
        <f>LEFT(D95,SEARCH(" ",D95))</f>
        <v>Ural </v>
      </c>
      <c r="D95" s="15" t="s">
        <v>189</v>
      </c>
      <c r="E95" s="15">
        <v>1</v>
      </c>
      <c r="F95" s="23" t="s">
        <v>262</v>
      </c>
      <c r="G95" s="15" t="s">
        <v>333</v>
      </c>
      <c r="H95" s="15" t="s">
        <v>264</v>
      </c>
      <c r="I95" s="15" t="s">
        <v>264</v>
      </c>
      <c r="J95" s="15" t="s">
        <v>334</v>
      </c>
      <c r="K95" s="15">
        <v>2001</v>
      </c>
      <c r="L95" s="15">
        <v>30000</v>
      </c>
      <c r="M95" s="15" t="s">
        <v>311</v>
      </c>
      <c r="N95" s="15" t="s">
        <v>312</v>
      </c>
      <c r="O95" s="23" t="s">
        <v>313</v>
      </c>
      <c r="P95" s="23" t="s">
        <v>314</v>
      </c>
      <c r="Q95" s="34" t="s">
        <v>335</v>
      </c>
      <c r="R95" s="15" t="s">
        <v>336</v>
      </c>
      <c r="S95" s="15">
        <v>7000</v>
      </c>
      <c r="T95" s="31" t="s">
        <v>271</v>
      </c>
      <c r="U95" s="33" t="s">
        <v>315</v>
      </c>
      <c r="V95" s="33" t="s">
        <v>316</v>
      </c>
    </row>
    <row r="96" hidden="1" spans="1:22">
      <c r="A96" s="16" t="s">
        <v>278</v>
      </c>
      <c r="B96" s="16" t="s">
        <v>278</v>
      </c>
      <c r="C96" s="16" t="s">
        <v>278</v>
      </c>
      <c r="D96" s="16" t="s">
        <v>278</v>
      </c>
      <c r="E96" s="16" t="s">
        <v>279</v>
      </c>
      <c r="F96" s="16" t="s">
        <v>278</v>
      </c>
      <c r="G96" s="16" t="s">
        <v>278</v>
      </c>
      <c r="H96" s="16" t="s">
        <v>278</v>
      </c>
      <c r="I96" s="16" t="s">
        <v>278</v>
      </c>
      <c r="J96" s="16" t="s">
        <v>278</v>
      </c>
      <c r="K96" s="16" t="s">
        <v>278</v>
      </c>
      <c r="L96" s="16" t="s">
        <v>278</v>
      </c>
      <c r="M96" s="16"/>
      <c r="N96" s="16"/>
      <c r="O96" s="16"/>
      <c r="P96" s="16"/>
      <c r="Q96" s="16" t="s">
        <v>278</v>
      </c>
      <c r="R96" s="16" t="s">
        <v>278</v>
      </c>
      <c r="S96" s="16" t="s">
        <v>278</v>
      </c>
      <c r="T96" s="16" t="s">
        <v>278</v>
      </c>
      <c r="U96" s="16" t="s">
        <v>278</v>
      </c>
      <c r="V96" s="16" t="s">
        <v>278</v>
      </c>
    </row>
    <row r="97" ht="24" hidden="1" spans="1:22">
      <c r="A97" s="11" t="s">
        <v>332</v>
      </c>
      <c r="B97" s="11" t="s">
        <v>280</v>
      </c>
      <c r="C97" s="11" t="str">
        <f t="shared" ref="C97:C106" si="8">LEFT(D97,SEARCH(" ",D97))</f>
        <v>ZTO </v>
      </c>
      <c r="D97" s="15" t="s">
        <v>231</v>
      </c>
      <c r="E97" s="15">
        <v>1</v>
      </c>
      <c r="F97" s="23" t="s">
        <v>281</v>
      </c>
      <c r="G97" s="15" t="s">
        <v>337</v>
      </c>
      <c r="H97" s="15" t="s">
        <v>277</v>
      </c>
      <c r="I97" s="15" t="s">
        <v>264</v>
      </c>
      <c r="J97" s="15" t="s">
        <v>334</v>
      </c>
      <c r="K97" s="15">
        <v>2001</v>
      </c>
      <c r="L97" s="15">
        <v>30000</v>
      </c>
      <c r="M97" s="15" t="s">
        <v>311</v>
      </c>
      <c r="N97" s="15" t="s">
        <v>312</v>
      </c>
      <c r="O97" s="23" t="s">
        <v>313</v>
      </c>
      <c r="P97" s="23" t="s">
        <v>314</v>
      </c>
      <c r="Q97" s="34" t="s">
        <v>335</v>
      </c>
      <c r="R97" s="15" t="s">
        <v>336</v>
      </c>
      <c r="S97" s="15">
        <v>7000</v>
      </c>
      <c r="T97" s="31" t="s">
        <v>271</v>
      </c>
      <c r="U97" s="33" t="s">
        <v>315</v>
      </c>
      <c r="V97" s="33" t="s">
        <v>316</v>
      </c>
    </row>
    <row r="98" ht="24" hidden="1" spans="1:22">
      <c r="A98" s="11" t="s">
        <v>332</v>
      </c>
      <c r="B98" s="11" t="s">
        <v>280</v>
      </c>
      <c r="C98" s="11" t="str">
        <f t="shared" si="8"/>
        <v>Ural </v>
      </c>
      <c r="D98" s="15" t="s">
        <v>195</v>
      </c>
      <c r="E98" s="15">
        <v>1</v>
      </c>
      <c r="F98" s="23" t="s">
        <v>281</v>
      </c>
      <c r="G98" s="15" t="s">
        <v>337</v>
      </c>
      <c r="H98" s="15" t="s">
        <v>277</v>
      </c>
      <c r="I98" s="15" t="s">
        <v>264</v>
      </c>
      <c r="J98" s="15" t="s">
        <v>334</v>
      </c>
      <c r="K98" s="15">
        <v>2001</v>
      </c>
      <c r="L98" s="15">
        <v>30000</v>
      </c>
      <c r="M98" s="15" t="s">
        <v>311</v>
      </c>
      <c r="N98" s="15" t="s">
        <v>312</v>
      </c>
      <c r="O98" s="23" t="s">
        <v>313</v>
      </c>
      <c r="P98" s="23" t="s">
        <v>314</v>
      </c>
      <c r="Q98" s="34" t="s">
        <v>335</v>
      </c>
      <c r="R98" s="15" t="s">
        <v>336</v>
      </c>
      <c r="S98" s="15">
        <v>7000</v>
      </c>
      <c r="T98" s="31" t="s">
        <v>271</v>
      </c>
      <c r="U98" s="33" t="s">
        <v>315</v>
      </c>
      <c r="V98" s="33" t="s">
        <v>316</v>
      </c>
    </row>
    <row r="99" ht="24" hidden="1" spans="1:22">
      <c r="A99" s="11" t="s">
        <v>332</v>
      </c>
      <c r="B99" s="11" t="s">
        <v>280</v>
      </c>
      <c r="C99" s="11" t="str">
        <f t="shared" si="8"/>
        <v>ATC </v>
      </c>
      <c r="D99" s="15" t="s">
        <v>34</v>
      </c>
      <c r="E99" s="15">
        <v>3</v>
      </c>
      <c r="F99" s="23" t="s">
        <v>281</v>
      </c>
      <c r="G99" s="15" t="s">
        <v>338</v>
      </c>
      <c r="H99" s="15" t="s">
        <v>277</v>
      </c>
      <c r="I99" s="15" t="s">
        <v>264</v>
      </c>
      <c r="J99" s="15" t="s">
        <v>334</v>
      </c>
      <c r="K99" s="15">
        <v>2001</v>
      </c>
      <c r="L99" s="15">
        <v>30000</v>
      </c>
      <c r="M99" s="15" t="s">
        <v>311</v>
      </c>
      <c r="N99" s="15" t="s">
        <v>312</v>
      </c>
      <c r="O99" s="23" t="s">
        <v>313</v>
      </c>
      <c r="P99" s="23" t="s">
        <v>314</v>
      </c>
      <c r="Q99" s="34" t="s">
        <v>335</v>
      </c>
      <c r="R99" s="15" t="s">
        <v>336</v>
      </c>
      <c r="S99" s="15">
        <v>7000</v>
      </c>
      <c r="T99" s="31" t="s">
        <v>271</v>
      </c>
      <c r="U99" s="33" t="s">
        <v>315</v>
      </c>
      <c r="V99" s="33" t="s">
        <v>316</v>
      </c>
    </row>
    <row r="100" ht="24" hidden="1" spans="1:22">
      <c r="A100" s="11" t="s">
        <v>332</v>
      </c>
      <c r="B100" s="11" t="s">
        <v>280</v>
      </c>
      <c r="C100" s="11" t="str">
        <f t="shared" si="8"/>
        <v>OYX </v>
      </c>
      <c r="D100" s="15" t="s">
        <v>115</v>
      </c>
      <c r="E100" s="15">
        <v>4</v>
      </c>
      <c r="F100" s="23" t="s">
        <v>281</v>
      </c>
      <c r="G100" s="15" t="s">
        <v>339</v>
      </c>
      <c r="H100" s="15" t="s">
        <v>277</v>
      </c>
      <c r="I100" s="15" t="s">
        <v>277</v>
      </c>
      <c r="J100" s="15" t="s">
        <v>334</v>
      </c>
      <c r="K100" s="15">
        <v>2001</v>
      </c>
      <c r="L100" s="15">
        <v>30000</v>
      </c>
      <c r="M100" s="15" t="s">
        <v>311</v>
      </c>
      <c r="N100" s="15" t="s">
        <v>312</v>
      </c>
      <c r="O100" s="23" t="s">
        <v>313</v>
      </c>
      <c r="P100" s="23" t="s">
        <v>314</v>
      </c>
      <c r="Q100" s="34" t="s">
        <v>335</v>
      </c>
      <c r="R100" s="15" t="s">
        <v>336</v>
      </c>
      <c r="S100" s="15">
        <v>7000</v>
      </c>
      <c r="T100" s="31" t="s">
        <v>271</v>
      </c>
      <c r="U100" s="33" t="s">
        <v>315</v>
      </c>
      <c r="V100" s="33" t="s">
        <v>316</v>
      </c>
    </row>
    <row r="101" ht="24" hidden="1" spans="1:22">
      <c r="A101" s="11" t="s">
        <v>332</v>
      </c>
      <c r="B101" s="11" t="s">
        <v>280</v>
      </c>
      <c r="C101" s="11" t="str">
        <f t="shared" si="8"/>
        <v>ABT </v>
      </c>
      <c r="D101" s="15" t="s">
        <v>22</v>
      </c>
      <c r="E101" s="15">
        <v>4</v>
      </c>
      <c r="F101" s="23" t="s">
        <v>281</v>
      </c>
      <c r="G101" s="15" t="s">
        <v>339</v>
      </c>
      <c r="H101" s="15" t="s">
        <v>277</v>
      </c>
      <c r="I101" s="15" t="s">
        <v>277</v>
      </c>
      <c r="J101" s="15" t="s">
        <v>334</v>
      </c>
      <c r="K101" s="15">
        <v>2001</v>
      </c>
      <c r="L101" s="15">
        <v>30000</v>
      </c>
      <c r="M101" s="15" t="s">
        <v>311</v>
      </c>
      <c r="N101" s="15" t="s">
        <v>312</v>
      </c>
      <c r="O101" s="23" t="s">
        <v>313</v>
      </c>
      <c r="P101" s="23" t="s">
        <v>314</v>
      </c>
      <c r="Q101" s="34" t="s">
        <v>335</v>
      </c>
      <c r="R101" s="15" t="s">
        <v>336</v>
      </c>
      <c r="S101" s="15">
        <v>7000</v>
      </c>
      <c r="T101" s="31" t="s">
        <v>271</v>
      </c>
      <c r="U101" s="33" t="s">
        <v>315</v>
      </c>
      <c r="V101" s="33" t="s">
        <v>316</v>
      </c>
    </row>
    <row r="102" ht="24" hidden="1" spans="1:22">
      <c r="A102" s="11" t="s">
        <v>332</v>
      </c>
      <c r="B102" s="11" t="s">
        <v>280</v>
      </c>
      <c r="C102" s="11" t="str">
        <f t="shared" si="8"/>
        <v>Xingyuan </v>
      </c>
      <c r="D102" s="15" t="s">
        <v>213</v>
      </c>
      <c r="E102" s="15">
        <v>4</v>
      </c>
      <c r="F102" s="23" t="s">
        <v>281</v>
      </c>
      <c r="G102" s="15" t="s">
        <v>339</v>
      </c>
      <c r="H102" s="15" t="s">
        <v>277</v>
      </c>
      <c r="I102" s="15" t="s">
        <v>277</v>
      </c>
      <c r="J102" s="15" t="s">
        <v>334</v>
      </c>
      <c r="K102" s="15">
        <v>2001</v>
      </c>
      <c r="L102" s="15">
        <v>30000</v>
      </c>
      <c r="M102" s="15" t="s">
        <v>311</v>
      </c>
      <c r="N102" s="15" t="s">
        <v>312</v>
      </c>
      <c r="O102" s="23" t="s">
        <v>313</v>
      </c>
      <c r="P102" s="23" t="s">
        <v>314</v>
      </c>
      <c r="Q102" s="34" t="s">
        <v>335</v>
      </c>
      <c r="R102" s="15" t="s">
        <v>336</v>
      </c>
      <c r="S102" s="15">
        <v>7000</v>
      </c>
      <c r="T102" s="31" t="s">
        <v>271</v>
      </c>
      <c r="U102" s="33" t="s">
        <v>315</v>
      </c>
      <c r="V102" s="33" t="s">
        <v>316</v>
      </c>
    </row>
    <row r="103" ht="24" hidden="1" spans="1:22">
      <c r="A103" s="11" t="s">
        <v>332</v>
      </c>
      <c r="B103" s="11" t="s">
        <v>280</v>
      </c>
      <c r="C103" s="11" t="str">
        <f t="shared" si="8"/>
        <v>Tanais </v>
      </c>
      <c r="D103" s="15" t="s">
        <v>148</v>
      </c>
      <c r="E103" s="15">
        <v>7</v>
      </c>
      <c r="F103" s="23" t="s">
        <v>281</v>
      </c>
      <c r="G103" s="15" t="s">
        <v>340</v>
      </c>
      <c r="H103" s="15" t="s">
        <v>264</v>
      </c>
      <c r="I103" s="15" t="s">
        <v>264</v>
      </c>
      <c r="J103" s="15" t="s">
        <v>334</v>
      </c>
      <c r="K103" s="15">
        <v>2001</v>
      </c>
      <c r="L103" s="15">
        <v>30000</v>
      </c>
      <c r="M103" s="15" t="s">
        <v>311</v>
      </c>
      <c r="N103" s="15" t="s">
        <v>312</v>
      </c>
      <c r="O103" s="23" t="s">
        <v>313</v>
      </c>
      <c r="P103" s="23" t="s">
        <v>314</v>
      </c>
      <c r="Q103" s="34" t="s">
        <v>335</v>
      </c>
      <c r="R103" s="15" t="s">
        <v>336</v>
      </c>
      <c r="S103" s="15">
        <v>7000</v>
      </c>
      <c r="T103" s="31" t="s">
        <v>271</v>
      </c>
      <c r="U103" s="33" t="s">
        <v>315</v>
      </c>
      <c r="V103" s="33" t="s">
        <v>316</v>
      </c>
    </row>
    <row r="104" ht="24" spans="1:22">
      <c r="A104" s="11" t="s">
        <v>332</v>
      </c>
      <c r="B104" s="11" t="s">
        <v>280</v>
      </c>
      <c r="C104" s="11" t="str">
        <f t="shared" si="8"/>
        <v>RETS </v>
      </c>
      <c r="D104" s="15" t="s">
        <v>133</v>
      </c>
      <c r="E104" s="15">
        <v>8</v>
      </c>
      <c r="F104" s="23" t="s">
        <v>281</v>
      </c>
      <c r="G104" s="15" t="s">
        <v>337</v>
      </c>
      <c r="H104" s="15" t="s">
        <v>277</v>
      </c>
      <c r="I104" s="15" t="s">
        <v>264</v>
      </c>
      <c r="J104" s="15" t="s">
        <v>334</v>
      </c>
      <c r="K104" s="15">
        <v>2001</v>
      </c>
      <c r="L104" s="15">
        <v>30000</v>
      </c>
      <c r="M104" s="15" t="s">
        <v>311</v>
      </c>
      <c r="N104" s="15" t="s">
        <v>312</v>
      </c>
      <c r="O104" s="23" t="s">
        <v>313</v>
      </c>
      <c r="P104" s="23" t="s">
        <v>314</v>
      </c>
      <c r="Q104" s="34" t="s">
        <v>335</v>
      </c>
      <c r="R104" s="15" t="s">
        <v>336</v>
      </c>
      <c r="S104" s="15">
        <v>7000</v>
      </c>
      <c r="T104" s="31" t="s">
        <v>271</v>
      </c>
      <c r="U104" s="33" t="s">
        <v>315</v>
      </c>
      <c r="V104" s="33" t="s">
        <v>316</v>
      </c>
    </row>
    <row r="105" ht="24" hidden="1" spans="1:22">
      <c r="A105" s="11" t="s">
        <v>332</v>
      </c>
      <c r="B105" s="11" t="s">
        <v>280</v>
      </c>
      <c r="C105" s="11" t="str">
        <f t="shared" si="8"/>
        <v>CEL </v>
      </c>
      <c r="D105" s="15" t="s">
        <v>52</v>
      </c>
      <c r="E105" s="15">
        <v>8</v>
      </c>
      <c r="F105" s="23" t="s">
        <v>281</v>
      </c>
      <c r="G105" s="15" t="s">
        <v>339</v>
      </c>
      <c r="H105" s="15" t="s">
        <v>277</v>
      </c>
      <c r="I105" s="15" t="s">
        <v>277</v>
      </c>
      <c r="J105" s="15" t="s">
        <v>334</v>
      </c>
      <c r="K105" s="15">
        <v>2001</v>
      </c>
      <c r="L105" s="15">
        <v>30000</v>
      </c>
      <c r="M105" s="15" t="s">
        <v>311</v>
      </c>
      <c r="N105" s="15" t="s">
        <v>312</v>
      </c>
      <c r="O105" s="23" t="s">
        <v>313</v>
      </c>
      <c r="P105" s="23" t="s">
        <v>314</v>
      </c>
      <c r="Q105" s="34" t="s">
        <v>335</v>
      </c>
      <c r="R105" s="15" t="s">
        <v>336</v>
      </c>
      <c r="S105" s="15">
        <v>7000</v>
      </c>
      <c r="T105" s="31" t="s">
        <v>271</v>
      </c>
      <c r="U105" s="33" t="s">
        <v>315</v>
      </c>
      <c r="V105" s="33" t="s">
        <v>316</v>
      </c>
    </row>
    <row r="106" ht="24" hidden="1" spans="1:22">
      <c r="A106" s="11" t="s">
        <v>332</v>
      </c>
      <c r="B106" s="11" t="s">
        <v>280</v>
      </c>
      <c r="C106" s="11" t="str">
        <f t="shared" si="8"/>
        <v>GUOO </v>
      </c>
      <c r="D106" s="15" t="s">
        <v>76</v>
      </c>
      <c r="E106" s="15">
        <v>8</v>
      </c>
      <c r="F106" s="23" t="s">
        <v>281</v>
      </c>
      <c r="G106" s="15" t="s">
        <v>337</v>
      </c>
      <c r="H106" s="15" t="s">
        <v>277</v>
      </c>
      <c r="I106" s="15" t="s">
        <v>277</v>
      </c>
      <c r="J106" s="15" t="s">
        <v>334</v>
      </c>
      <c r="K106" s="15">
        <v>2001</v>
      </c>
      <c r="L106" s="15">
        <v>30000</v>
      </c>
      <c r="M106" s="15" t="s">
        <v>311</v>
      </c>
      <c r="N106" s="15" t="s">
        <v>312</v>
      </c>
      <c r="O106" s="23" t="s">
        <v>313</v>
      </c>
      <c r="P106" s="23" t="s">
        <v>314</v>
      </c>
      <c r="Q106" s="34" t="s">
        <v>335</v>
      </c>
      <c r="R106" s="15" t="s">
        <v>336</v>
      </c>
      <c r="S106" s="15">
        <v>7000</v>
      </c>
      <c r="T106" s="31" t="s">
        <v>271</v>
      </c>
      <c r="U106" s="33" t="s">
        <v>315</v>
      </c>
      <c r="V106" s="33" t="s">
        <v>316</v>
      </c>
    </row>
    <row r="107" hidden="1" spans="1:22">
      <c r="A107" s="16" t="s">
        <v>278</v>
      </c>
      <c r="B107" s="16" t="s">
        <v>278</v>
      </c>
      <c r="C107" s="16" t="s">
        <v>278</v>
      </c>
      <c r="D107" s="16" t="s">
        <v>278</v>
      </c>
      <c r="E107" s="16" t="s">
        <v>279</v>
      </c>
      <c r="F107" s="16" t="s">
        <v>278</v>
      </c>
      <c r="G107" s="16" t="s">
        <v>278</v>
      </c>
      <c r="H107" s="16" t="s">
        <v>278</v>
      </c>
      <c r="I107" s="16" t="s">
        <v>278</v>
      </c>
      <c r="J107" s="16" t="s">
        <v>278</v>
      </c>
      <c r="K107" s="16" t="s">
        <v>278</v>
      </c>
      <c r="L107" s="16" t="s">
        <v>278</v>
      </c>
      <c r="M107" s="16"/>
      <c r="N107" s="16"/>
      <c r="O107" s="16"/>
      <c r="P107" s="16"/>
      <c r="Q107" s="16" t="s">
        <v>278</v>
      </c>
      <c r="R107" s="16" t="s">
        <v>278</v>
      </c>
      <c r="S107" s="16" t="s">
        <v>278</v>
      </c>
      <c r="T107" s="16" t="s">
        <v>278</v>
      </c>
      <c r="U107" s="16" t="s">
        <v>278</v>
      </c>
      <c r="V107" s="16" t="s">
        <v>278</v>
      </c>
    </row>
    <row r="108" ht="24" hidden="1" spans="1:22">
      <c r="A108" s="11" t="s">
        <v>332</v>
      </c>
      <c r="B108" s="11" t="s">
        <v>287</v>
      </c>
      <c r="C108" s="11" t="str">
        <f t="shared" ref="C108:C114" si="9">LEFT(D108,SEARCH(" ",D108))</f>
        <v>CEL </v>
      </c>
      <c r="D108" s="15" t="s">
        <v>40</v>
      </c>
      <c r="E108" s="15">
        <v>1</v>
      </c>
      <c r="F108" s="23" t="s">
        <v>288</v>
      </c>
      <c r="G108" s="15" t="s">
        <v>341</v>
      </c>
      <c r="H108" s="15" t="s">
        <v>277</v>
      </c>
      <c r="I108" s="15" t="s">
        <v>277</v>
      </c>
      <c r="J108" s="15" t="s">
        <v>334</v>
      </c>
      <c r="K108" s="15">
        <v>2001</v>
      </c>
      <c r="L108" s="15">
        <v>30000</v>
      </c>
      <c r="M108" s="15" t="s">
        <v>311</v>
      </c>
      <c r="N108" s="15" t="s">
        <v>312</v>
      </c>
      <c r="O108" s="23" t="s">
        <v>313</v>
      </c>
      <c r="P108" s="23" t="s">
        <v>314</v>
      </c>
      <c r="Q108" s="34" t="s">
        <v>335</v>
      </c>
      <c r="R108" s="15" t="s">
        <v>336</v>
      </c>
      <c r="S108" s="15">
        <v>7000</v>
      </c>
      <c r="T108" s="31" t="s">
        <v>271</v>
      </c>
      <c r="U108" s="33" t="s">
        <v>315</v>
      </c>
      <c r="V108" s="33" t="s">
        <v>316</v>
      </c>
    </row>
    <row r="109" ht="24" hidden="1" spans="1:22">
      <c r="A109" s="11" t="s">
        <v>332</v>
      </c>
      <c r="B109" s="11" t="s">
        <v>287</v>
      </c>
      <c r="C109" s="11" t="str">
        <f t="shared" si="9"/>
        <v>Xingyuan </v>
      </c>
      <c r="D109" s="15" t="s">
        <v>201</v>
      </c>
      <c r="E109" s="15">
        <v>1</v>
      </c>
      <c r="F109" s="23" t="s">
        <v>288</v>
      </c>
      <c r="G109" s="15" t="s">
        <v>341</v>
      </c>
      <c r="H109" s="15" t="s">
        <v>277</v>
      </c>
      <c r="I109" s="15" t="s">
        <v>277</v>
      </c>
      <c r="J109" s="15" t="s">
        <v>334</v>
      </c>
      <c r="K109" s="15">
        <v>2001</v>
      </c>
      <c r="L109" s="15">
        <v>30000</v>
      </c>
      <c r="M109" s="15" t="s">
        <v>311</v>
      </c>
      <c r="N109" s="15" t="s">
        <v>312</v>
      </c>
      <c r="O109" s="23" t="s">
        <v>313</v>
      </c>
      <c r="P109" s="23" t="s">
        <v>314</v>
      </c>
      <c r="Q109" s="34" t="s">
        <v>335</v>
      </c>
      <c r="R109" s="15" t="s">
        <v>336</v>
      </c>
      <c r="S109" s="15">
        <v>7000</v>
      </c>
      <c r="T109" s="31" t="s">
        <v>271</v>
      </c>
      <c r="U109" s="33" t="s">
        <v>315</v>
      </c>
      <c r="V109" s="33" t="s">
        <v>316</v>
      </c>
    </row>
    <row r="110" ht="24" hidden="1" spans="1:22">
      <c r="A110" s="11" t="s">
        <v>332</v>
      </c>
      <c r="B110" s="11" t="s">
        <v>287</v>
      </c>
      <c r="C110" s="11" t="str">
        <f t="shared" si="9"/>
        <v>ABT </v>
      </c>
      <c r="D110" s="15" t="s">
        <v>10</v>
      </c>
      <c r="E110" s="15">
        <v>1</v>
      </c>
      <c r="F110" s="23" t="s">
        <v>288</v>
      </c>
      <c r="G110" s="15" t="s">
        <v>341</v>
      </c>
      <c r="H110" s="15" t="s">
        <v>277</v>
      </c>
      <c r="I110" s="15" t="s">
        <v>277</v>
      </c>
      <c r="J110" s="15" t="s">
        <v>334</v>
      </c>
      <c r="K110" s="15">
        <v>2001</v>
      </c>
      <c r="L110" s="15">
        <v>30000</v>
      </c>
      <c r="M110" s="15" t="s">
        <v>311</v>
      </c>
      <c r="N110" s="15" t="s">
        <v>312</v>
      </c>
      <c r="O110" s="23" t="s">
        <v>313</v>
      </c>
      <c r="P110" s="23" t="s">
        <v>314</v>
      </c>
      <c r="Q110" s="34" t="s">
        <v>335</v>
      </c>
      <c r="R110" s="15" t="s">
        <v>336</v>
      </c>
      <c r="S110" s="15">
        <v>7000</v>
      </c>
      <c r="T110" s="31" t="s">
        <v>271</v>
      </c>
      <c r="U110" s="33" t="s">
        <v>315</v>
      </c>
      <c r="V110" s="33" t="s">
        <v>316</v>
      </c>
    </row>
    <row r="111" ht="24" hidden="1" spans="1:22">
      <c r="A111" s="11" t="s">
        <v>332</v>
      </c>
      <c r="B111" s="11" t="s">
        <v>287</v>
      </c>
      <c r="C111" s="11" t="str">
        <f t="shared" si="9"/>
        <v>OYX </v>
      </c>
      <c r="D111" s="15" t="s">
        <v>103</v>
      </c>
      <c r="E111" s="15">
        <v>1</v>
      </c>
      <c r="F111" s="23" t="s">
        <v>288</v>
      </c>
      <c r="G111" s="15" t="s">
        <v>341</v>
      </c>
      <c r="H111" s="15" t="s">
        <v>277</v>
      </c>
      <c r="I111" s="15" t="s">
        <v>277</v>
      </c>
      <c r="J111" s="15" t="s">
        <v>334</v>
      </c>
      <c r="K111" s="15">
        <v>2001</v>
      </c>
      <c r="L111" s="15">
        <v>30000</v>
      </c>
      <c r="M111" s="15" t="s">
        <v>311</v>
      </c>
      <c r="N111" s="15" t="s">
        <v>312</v>
      </c>
      <c r="O111" s="23" t="s">
        <v>313</v>
      </c>
      <c r="P111" s="23" t="s">
        <v>314</v>
      </c>
      <c r="Q111" s="34" t="s">
        <v>335</v>
      </c>
      <c r="R111" s="15" t="s">
        <v>336</v>
      </c>
      <c r="S111" s="15">
        <v>7000</v>
      </c>
      <c r="T111" s="31" t="s">
        <v>271</v>
      </c>
      <c r="U111" s="33" t="s">
        <v>315</v>
      </c>
      <c r="V111" s="33" t="s">
        <v>316</v>
      </c>
    </row>
    <row r="112" ht="24" hidden="1" spans="1:22">
      <c r="A112" s="11" t="s">
        <v>332</v>
      </c>
      <c r="B112" s="11" t="s">
        <v>287</v>
      </c>
      <c r="C112" s="11" t="str">
        <f t="shared" si="9"/>
        <v>Tanais </v>
      </c>
      <c r="D112" s="15" t="s">
        <v>139</v>
      </c>
      <c r="E112" s="15">
        <v>1</v>
      </c>
      <c r="F112" s="23" t="s">
        <v>288</v>
      </c>
      <c r="G112" s="15" t="s">
        <v>342</v>
      </c>
      <c r="H112" s="15" t="s">
        <v>264</v>
      </c>
      <c r="I112" s="15" t="s">
        <v>264</v>
      </c>
      <c r="J112" s="15" t="s">
        <v>334</v>
      </c>
      <c r="K112" s="15">
        <v>2001</v>
      </c>
      <c r="L112" s="15">
        <v>30000</v>
      </c>
      <c r="M112" s="15" t="s">
        <v>311</v>
      </c>
      <c r="N112" s="15" t="s">
        <v>312</v>
      </c>
      <c r="O112" s="23" t="s">
        <v>313</v>
      </c>
      <c r="P112" s="23" t="s">
        <v>314</v>
      </c>
      <c r="Q112" s="34" t="s">
        <v>335</v>
      </c>
      <c r="R112" s="15" t="s">
        <v>336</v>
      </c>
      <c r="S112" s="15">
        <v>7000</v>
      </c>
      <c r="T112" s="31" t="s">
        <v>271</v>
      </c>
      <c r="U112" s="33" t="s">
        <v>315</v>
      </c>
      <c r="V112" s="33" t="s">
        <v>316</v>
      </c>
    </row>
    <row r="113" ht="24" hidden="1" spans="1:22">
      <c r="A113" s="11" t="s">
        <v>332</v>
      </c>
      <c r="B113" s="11" t="s">
        <v>287</v>
      </c>
      <c r="C113" s="11" t="str">
        <f t="shared" si="9"/>
        <v>ATC </v>
      </c>
      <c r="D113" s="15" t="s">
        <v>28</v>
      </c>
      <c r="E113" s="15">
        <v>6</v>
      </c>
      <c r="F113" s="23" t="s">
        <v>288</v>
      </c>
      <c r="G113" s="15" t="s">
        <v>343</v>
      </c>
      <c r="H113" s="15" t="s">
        <v>277</v>
      </c>
      <c r="I113" s="15" t="s">
        <v>264</v>
      </c>
      <c r="J113" s="15" t="s">
        <v>334</v>
      </c>
      <c r="K113" s="15">
        <v>2001</v>
      </c>
      <c r="L113" s="15">
        <v>30000</v>
      </c>
      <c r="M113" s="15" t="s">
        <v>311</v>
      </c>
      <c r="N113" s="15" t="s">
        <v>312</v>
      </c>
      <c r="O113" s="23" t="s">
        <v>313</v>
      </c>
      <c r="P113" s="23" t="s">
        <v>314</v>
      </c>
      <c r="Q113" s="34" t="s">
        <v>335</v>
      </c>
      <c r="R113" s="15" t="s">
        <v>336</v>
      </c>
      <c r="S113" s="15">
        <v>7000</v>
      </c>
      <c r="T113" s="31" t="s">
        <v>271</v>
      </c>
      <c r="U113" s="33" t="s">
        <v>315</v>
      </c>
      <c r="V113" s="33" t="s">
        <v>316</v>
      </c>
    </row>
    <row r="114" ht="24" hidden="1" spans="1:22">
      <c r="A114" s="11" t="s">
        <v>332</v>
      </c>
      <c r="B114" s="11" t="s">
        <v>287</v>
      </c>
      <c r="C114" s="11" t="str">
        <f t="shared" si="9"/>
        <v>GUOO </v>
      </c>
      <c r="D114" s="15" t="s">
        <v>67</v>
      </c>
      <c r="E114" s="15">
        <v>7</v>
      </c>
      <c r="F114" s="23" t="s">
        <v>288</v>
      </c>
      <c r="G114" s="15" t="s">
        <v>344</v>
      </c>
      <c r="H114" s="15" t="s">
        <v>277</v>
      </c>
      <c r="I114" s="15" t="s">
        <v>277</v>
      </c>
      <c r="J114" s="15" t="s">
        <v>334</v>
      </c>
      <c r="K114" s="15">
        <v>2001</v>
      </c>
      <c r="L114" s="15">
        <v>30000</v>
      </c>
      <c r="M114" s="15" t="s">
        <v>311</v>
      </c>
      <c r="N114" s="15" t="s">
        <v>312</v>
      </c>
      <c r="O114" s="23" t="s">
        <v>313</v>
      </c>
      <c r="P114" s="23" t="s">
        <v>314</v>
      </c>
      <c r="Q114" s="34" t="s">
        <v>335</v>
      </c>
      <c r="R114" s="15" t="s">
        <v>336</v>
      </c>
      <c r="S114" s="15">
        <v>7000</v>
      </c>
      <c r="T114" s="31" t="s">
        <v>271</v>
      </c>
      <c r="U114" s="33" t="s">
        <v>315</v>
      </c>
      <c r="V114" s="33" t="s">
        <v>316</v>
      </c>
    </row>
    <row r="115" ht="18" hidden="1" customHeight="1" spans="1:22">
      <c r="A115" s="16" t="s">
        <v>278</v>
      </c>
      <c r="B115" s="16" t="s">
        <v>278</v>
      </c>
      <c r="C115" s="16" t="s">
        <v>278</v>
      </c>
      <c r="D115" s="16" t="s">
        <v>278</v>
      </c>
      <c r="E115" s="16" t="s">
        <v>279</v>
      </c>
      <c r="F115" s="16" t="s">
        <v>278</v>
      </c>
      <c r="G115" s="16" t="s">
        <v>278</v>
      </c>
      <c r="H115" s="16" t="s">
        <v>278</v>
      </c>
      <c r="I115" s="16" t="s">
        <v>278</v>
      </c>
      <c r="J115" s="16" t="s">
        <v>278</v>
      </c>
      <c r="K115" s="16" t="s">
        <v>278</v>
      </c>
      <c r="L115" s="16" t="s">
        <v>278</v>
      </c>
      <c r="M115" s="16"/>
      <c r="N115" s="16"/>
      <c r="O115" s="16"/>
      <c r="P115" s="16"/>
      <c r="Q115" s="16" t="s">
        <v>278</v>
      </c>
      <c r="R115" s="16" t="s">
        <v>278</v>
      </c>
      <c r="S115" s="16" t="s">
        <v>278</v>
      </c>
      <c r="T115" s="16" t="s">
        <v>278</v>
      </c>
      <c r="U115" s="16" t="s">
        <v>278</v>
      </c>
      <c r="V115" s="16" t="s">
        <v>278</v>
      </c>
    </row>
    <row r="116" ht="18" hidden="1" customHeight="1" spans="1:22">
      <c r="A116" s="11" t="s">
        <v>345</v>
      </c>
      <c r="B116" s="11" t="s">
        <v>261</v>
      </c>
      <c r="C116" s="11" t="str">
        <f t="shared" ref="C116:C122" si="10">LEFT(D116,SEARCH(" ",D116))</f>
        <v>ZTO </v>
      </c>
      <c r="D116" s="15" t="s">
        <v>226</v>
      </c>
      <c r="E116" s="15">
        <v>1</v>
      </c>
      <c r="F116" s="23" t="s">
        <v>262</v>
      </c>
      <c r="G116" s="15" t="s">
        <v>346</v>
      </c>
      <c r="H116" s="15" t="s">
        <v>264</v>
      </c>
      <c r="I116" s="15" t="s">
        <v>264</v>
      </c>
      <c r="J116" s="15" t="s">
        <v>347</v>
      </c>
      <c r="K116" s="15">
        <v>1</v>
      </c>
      <c r="L116" s="15">
        <v>5000</v>
      </c>
      <c r="M116" s="15" t="s">
        <v>348</v>
      </c>
      <c r="N116" s="15" t="s">
        <v>349</v>
      </c>
      <c r="O116" s="15" t="s">
        <v>350</v>
      </c>
      <c r="P116" s="15" t="s">
        <v>351</v>
      </c>
      <c r="Q116" s="15" t="s">
        <v>269</v>
      </c>
      <c r="R116" s="15" t="s">
        <v>270</v>
      </c>
      <c r="S116" s="15">
        <v>250000</v>
      </c>
      <c r="T116" s="31" t="s">
        <v>271</v>
      </c>
      <c r="U116" s="33" t="s">
        <v>315</v>
      </c>
      <c r="V116" s="33" t="s">
        <v>315</v>
      </c>
    </row>
    <row r="117" ht="18" hidden="1" customHeight="1" spans="1:22">
      <c r="A117" s="11" t="s">
        <v>345</v>
      </c>
      <c r="B117" s="11" t="s">
        <v>261</v>
      </c>
      <c r="C117" s="11" t="str">
        <f t="shared" si="10"/>
        <v>Ural </v>
      </c>
      <c r="D117" s="15" t="s">
        <v>193</v>
      </c>
      <c r="E117" s="15">
        <v>1</v>
      </c>
      <c r="F117" s="23" t="s">
        <v>262</v>
      </c>
      <c r="G117" s="15" t="s">
        <v>346</v>
      </c>
      <c r="H117" s="15" t="s">
        <v>264</v>
      </c>
      <c r="I117" s="15" t="s">
        <v>264</v>
      </c>
      <c r="J117" s="15" t="s">
        <v>347</v>
      </c>
      <c r="K117" s="15">
        <v>1</v>
      </c>
      <c r="L117" s="15">
        <v>5000</v>
      </c>
      <c r="M117" s="15" t="s">
        <v>348</v>
      </c>
      <c r="N117" s="15" t="s">
        <v>349</v>
      </c>
      <c r="O117" s="15" t="s">
        <v>350</v>
      </c>
      <c r="P117" s="15" t="s">
        <v>351</v>
      </c>
      <c r="Q117" s="15" t="s">
        <v>269</v>
      </c>
      <c r="R117" s="15" t="s">
        <v>270</v>
      </c>
      <c r="S117" s="15">
        <v>250000</v>
      </c>
      <c r="T117" s="31" t="s">
        <v>271</v>
      </c>
      <c r="U117" s="33" t="s">
        <v>315</v>
      </c>
      <c r="V117" s="33" t="s">
        <v>315</v>
      </c>
    </row>
    <row r="118" ht="18" customHeight="1" spans="1:22">
      <c r="A118" s="11" t="s">
        <v>345</v>
      </c>
      <c r="B118" s="11" t="s">
        <v>261</v>
      </c>
      <c r="C118" s="11" t="str">
        <f t="shared" si="10"/>
        <v>RETS </v>
      </c>
      <c r="D118" s="15" t="s">
        <v>131</v>
      </c>
      <c r="E118" s="15">
        <v>3</v>
      </c>
      <c r="F118" s="23" t="s">
        <v>262</v>
      </c>
      <c r="G118" s="15" t="s">
        <v>346</v>
      </c>
      <c r="H118" s="15" t="s">
        <v>264</v>
      </c>
      <c r="I118" s="15" t="s">
        <v>264</v>
      </c>
      <c r="J118" s="15" t="s">
        <v>347</v>
      </c>
      <c r="K118" s="15">
        <v>1</v>
      </c>
      <c r="L118" s="15">
        <v>5000</v>
      </c>
      <c r="M118" s="15" t="s">
        <v>348</v>
      </c>
      <c r="N118" s="15" t="s">
        <v>349</v>
      </c>
      <c r="O118" s="15" t="s">
        <v>350</v>
      </c>
      <c r="P118" s="15" t="s">
        <v>351</v>
      </c>
      <c r="Q118" s="15" t="s">
        <v>269</v>
      </c>
      <c r="R118" s="15" t="s">
        <v>270</v>
      </c>
      <c r="S118" s="15">
        <v>250000</v>
      </c>
      <c r="T118" s="31" t="s">
        <v>271</v>
      </c>
      <c r="U118" s="33" t="s">
        <v>315</v>
      </c>
      <c r="V118" s="33" t="s">
        <v>315</v>
      </c>
    </row>
    <row r="119" ht="18" hidden="1" customHeight="1" spans="1:22">
      <c r="A119" s="11" t="s">
        <v>345</v>
      </c>
      <c r="B119" s="11" t="s">
        <v>261</v>
      </c>
      <c r="C119" s="11" t="str">
        <f t="shared" si="10"/>
        <v>GUOO </v>
      </c>
      <c r="D119" s="15" t="s">
        <v>74</v>
      </c>
      <c r="E119" s="15">
        <v>3</v>
      </c>
      <c r="F119" s="23" t="s">
        <v>262</v>
      </c>
      <c r="G119" s="15" t="s">
        <v>346</v>
      </c>
      <c r="H119" s="15" t="s">
        <v>264</v>
      </c>
      <c r="I119" s="15" t="s">
        <v>264</v>
      </c>
      <c r="J119" s="15" t="s">
        <v>347</v>
      </c>
      <c r="K119" s="15">
        <v>1</v>
      </c>
      <c r="L119" s="15">
        <v>5000</v>
      </c>
      <c r="M119" s="15" t="s">
        <v>348</v>
      </c>
      <c r="N119" s="15" t="s">
        <v>349</v>
      </c>
      <c r="O119" s="15" t="s">
        <v>350</v>
      </c>
      <c r="P119" s="15" t="s">
        <v>351</v>
      </c>
      <c r="Q119" s="15" t="s">
        <v>269</v>
      </c>
      <c r="R119" s="15" t="s">
        <v>270</v>
      </c>
      <c r="S119" s="15">
        <v>250000</v>
      </c>
      <c r="T119" s="31" t="s">
        <v>271</v>
      </c>
      <c r="U119" s="33" t="s">
        <v>315</v>
      </c>
      <c r="V119" s="33" t="s">
        <v>315</v>
      </c>
    </row>
    <row r="120" ht="18" hidden="1" customHeight="1" spans="1:22">
      <c r="A120" s="11" t="s">
        <v>345</v>
      </c>
      <c r="B120" s="11" t="s">
        <v>261</v>
      </c>
      <c r="C120" s="11" t="str">
        <f t="shared" si="10"/>
        <v>ATC </v>
      </c>
      <c r="D120" s="15" t="s">
        <v>352</v>
      </c>
      <c r="E120" s="15">
        <v>3</v>
      </c>
      <c r="F120" s="23" t="s">
        <v>262</v>
      </c>
      <c r="G120" s="15" t="s">
        <v>353</v>
      </c>
      <c r="H120" s="15" t="s">
        <v>264</v>
      </c>
      <c r="I120" s="15" t="s">
        <v>264</v>
      </c>
      <c r="J120" s="15" t="s">
        <v>347</v>
      </c>
      <c r="K120" s="15">
        <v>1</v>
      </c>
      <c r="L120" s="15">
        <v>5000</v>
      </c>
      <c r="M120" s="15" t="s">
        <v>348</v>
      </c>
      <c r="N120" s="15" t="s">
        <v>349</v>
      </c>
      <c r="O120" s="15" t="s">
        <v>350</v>
      </c>
      <c r="P120" s="15" t="s">
        <v>351</v>
      </c>
      <c r="Q120" s="15" t="s">
        <v>269</v>
      </c>
      <c r="R120" s="15" t="s">
        <v>270</v>
      </c>
      <c r="S120" s="15">
        <v>250000</v>
      </c>
      <c r="T120" s="31" t="s">
        <v>271</v>
      </c>
      <c r="U120" s="33" t="s">
        <v>315</v>
      </c>
      <c r="V120" s="33" t="s">
        <v>315</v>
      </c>
    </row>
    <row r="121" ht="18" hidden="1" customHeight="1" spans="1:22">
      <c r="A121" s="11" t="s">
        <v>345</v>
      </c>
      <c r="B121" s="11" t="s">
        <v>261</v>
      </c>
      <c r="C121" s="11" t="str">
        <f t="shared" si="10"/>
        <v>GBS </v>
      </c>
      <c r="D121" s="15" t="s">
        <v>62</v>
      </c>
      <c r="E121" s="15">
        <v>6</v>
      </c>
      <c r="F121" s="23" t="s">
        <v>262</v>
      </c>
      <c r="G121" s="15" t="s">
        <v>354</v>
      </c>
      <c r="H121" s="15" t="s">
        <v>264</v>
      </c>
      <c r="I121" s="15" t="s">
        <v>264</v>
      </c>
      <c r="J121" s="15" t="s">
        <v>347</v>
      </c>
      <c r="K121" s="15">
        <v>1</v>
      </c>
      <c r="L121" s="15">
        <v>5000</v>
      </c>
      <c r="M121" s="15" t="s">
        <v>348</v>
      </c>
      <c r="N121" s="15" t="s">
        <v>349</v>
      </c>
      <c r="O121" s="15" t="s">
        <v>350</v>
      </c>
      <c r="P121" s="15" t="s">
        <v>351</v>
      </c>
      <c r="Q121" s="15" t="s">
        <v>269</v>
      </c>
      <c r="R121" s="15" t="s">
        <v>270</v>
      </c>
      <c r="S121" s="15">
        <v>250000</v>
      </c>
      <c r="T121" s="31" t="s">
        <v>271</v>
      </c>
      <c r="U121" s="33" t="s">
        <v>315</v>
      </c>
      <c r="V121" s="33" t="s">
        <v>315</v>
      </c>
    </row>
    <row r="122" ht="18" hidden="1" customHeight="1" spans="1:22">
      <c r="A122" s="11" t="s">
        <v>345</v>
      </c>
      <c r="B122" s="11" t="s">
        <v>261</v>
      </c>
      <c r="C122" s="11" t="str">
        <f t="shared" si="10"/>
        <v>CEL </v>
      </c>
      <c r="D122" s="15" t="s">
        <v>50</v>
      </c>
      <c r="E122" s="15">
        <v>7</v>
      </c>
      <c r="F122" s="23" t="s">
        <v>262</v>
      </c>
      <c r="G122" s="15" t="s">
        <v>355</v>
      </c>
      <c r="H122" s="15" t="s">
        <v>264</v>
      </c>
      <c r="I122" s="15" t="s">
        <v>277</v>
      </c>
      <c r="J122" s="15" t="s">
        <v>347</v>
      </c>
      <c r="K122" s="15">
        <v>1</v>
      </c>
      <c r="L122" s="15">
        <v>5000</v>
      </c>
      <c r="M122" s="15" t="s">
        <v>348</v>
      </c>
      <c r="N122" s="15" t="s">
        <v>349</v>
      </c>
      <c r="O122" s="15" t="s">
        <v>350</v>
      </c>
      <c r="P122" s="15" t="s">
        <v>351</v>
      </c>
      <c r="Q122" s="15" t="s">
        <v>269</v>
      </c>
      <c r="R122" s="15" t="s">
        <v>270</v>
      </c>
      <c r="S122" s="15">
        <v>250000</v>
      </c>
      <c r="T122" s="31" t="s">
        <v>271</v>
      </c>
      <c r="U122" s="33" t="s">
        <v>315</v>
      </c>
      <c r="V122" s="33" t="s">
        <v>315</v>
      </c>
    </row>
    <row r="123" ht="18" hidden="1" customHeight="1" spans="1:22">
      <c r="A123" s="16" t="s">
        <v>278</v>
      </c>
      <c r="B123" s="16" t="s">
        <v>278</v>
      </c>
      <c r="C123" s="16" t="s">
        <v>278</v>
      </c>
      <c r="D123" s="16" t="s">
        <v>278</v>
      </c>
      <c r="E123" s="16" t="s">
        <v>279</v>
      </c>
      <c r="F123" s="16" t="s">
        <v>278</v>
      </c>
      <c r="G123" s="16" t="s">
        <v>278</v>
      </c>
      <c r="H123" s="16" t="s">
        <v>278</v>
      </c>
      <c r="I123" s="16" t="s">
        <v>278</v>
      </c>
      <c r="J123" s="16" t="s">
        <v>278</v>
      </c>
      <c r="K123" s="16" t="s">
        <v>278</v>
      </c>
      <c r="L123" s="16" t="s">
        <v>278</v>
      </c>
      <c r="M123" s="16"/>
      <c r="N123" s="16"/>
      <c r="O123" s="16"/>
      <c r="P123" s="16"/>
      <c r="Q123" s="16" t="s">
        <v>278</v>
      </c>
      <c r="R123" s="16" t="s">
        <v>278</v>
      </c>
      <c r="S123" s="16" t="s">
        <v>278</v>
      </c>
      <c r="T123" s="16" t="s">
        <v>278</v>
      </c>
      <c r="U123" s="16" t="s">
        <v>278</v>
      </c>
      <c r="V123" s="16" t="s">
        <v>278</v>
      </c>
    </row>
    <row r="124" ht="18" customHeight="1" spans="1:22">
      <c r="A124" s="11" t="s">
        <v>345</v>
      </c>
      <c r="B124" s="11" t="s">
        <v>280</v>
      </c>
      <c r="C124" s="11" t="str">
        <f t="shared" ref="C124:C133" si="11">LEFT(D124,SEARCH(" ",D124))</f>
        <v>RETS </v>
      </c>
      <c r="D124" s="15" t="s">
        <v>137</v>
      </c>
      <c r="E124" s="15">
        <v>1</v>
      </c>
      <c r="F124" s="23" t="s">
        <v>281</v>
      </c>
      <c r="G124" s="15" t="s">
        <v>356</v>
      </c>
      <c r="H124" s="15" t="s">
        <v>277</v>
      </c>
      <c r="I124" s="15" t="s">
        <v>264</v>
      </c>
      <c r="J124" s="15" t="s">
        <v>347</v>
      </c>
      <c r="K124" s="15">
        <v>1</v>
      </c>
      <c r="L124" s="15">
        <v>5000</v>
      </c>
      <c r="M124" s="15" t="s">
        <v>348</v>
      </c>
      <c r="N124" s="15" t="s">
        <v>349</v>
      </c>
      <c r="O124" s="15" t="s">
        <v>350</v>
      </c>
      <c r="P124" s="15" t="s">
        <v>351</v>
      </c>
      <c r="Q124" s="15" t="s">
        <v>269</v>
      </c>
      <c r="R124" s="15" t="s">
        <v>270</v>
      </c>
      <c r="S124" s="15">
        <v>250000</v>
      </c>
      <c r="T124" s="31" t="s">
        <v>271</v>
      </c>
      <c r="U124" s="33" t="s">
        <v>315</v>
      </c>
      <c r="V124" s="33" t="s">
        <v>315</v>
      </c>
    </row>
    <row r="125" ht="18" hidden="1" customHeight="1" spans="1:22">
      <c r="A125" s="11" t="s">
        <v>345</v>
      </c>
      <c r="B125" s="11" t="s">
        <v>280</v>
      </c>
      <c r="C125" s="11" t="str">
        <f t="shared" si="11"/>
        <v>ZTO </v>
      </c>
      <c r="D125" s="15" t="s">
        <v>234</v>
      </c>
      <c r="E125" s="15">
        <v>1</v>
      </c>
      <c r="F125" s="23" t="s">
        <v>281</v>
      </c>
      <c r="G125" s="15" t="s">
        <v>356</v>
      </c>
      <c r="H125" s="15" t="s">
        <v>277</v>
      </c>
      <c r="I125" s="15" t="s">
        <v>264</v>
      </c>
      <c r="J125" s="15" t="s">
        <v>347</v>
      </c>
      <c r="K125" s="15">
        <v>1</v>
      </c>
      <c r="L125" s="15">
        <v>5000</v>
      </c>
      <c r="M125" s="15" t="s">
        <v>348</v>
      </c>
      <c r="N125" s="15" t="s">
        <v>349</v>
      </c>
      <c r="O125" s="15" t="s">
        <v>350</v>
      </c>
      <c r="P125" s="15" t="s">
        <v>351</v>
      </c>
      <c r="Q125" s="15" t="s">
        <v>269</v>
      </c>
      <c r="R125" s="15" t="s">
        <v>270</v>
      </c>
      <c r="S125" s="15">
        <v>250000</v>
      </c>
      <c r="T125" s="31" t="s">
        <v>271</v>
      </c>
      <c r="U125" s="33" t="s">
        <v>315</v>
      </c>
      <c r="V125" s="33" t="s">
        <v>315</v>
      </c>
    </row>
    <row r="126" ht="18" hidden="1" customHeight="1" spans="1:22">
      <c r="A126" s="11" t="s">
        <v>345</v>
      </c>
      <c r="B126" s="11" t="s">
        <v>280</v>
      </c>
      <c r="C126" s="11" t="str">
        <f t="shared" si="11"/>
        <v>Ural </v>
      </c>
      <c r="D126" s="15" t="s">
        <v>199</v>
      </c>
      <c r="E126" s="15">
        <v>1</v>
      </c>
      <c r="F126" s="23" t="s">
        <v>281</v>
      </c>
      <c r="G126" s="15" t="s">
        <v>356</v>
      </c>
      <c r="H126" s="15" t="s">
        <v>277</v>
      </c>
      <c r="I126" s="15" t="s">
        <v>264</v>
      </c>
      <c r="J126" s="15" t="s">
        <v>347</v>
      </c>
      <c r="K126" s="15">
        <v>1</v>
      </c>
      <c r="L126" s="15">
        <v>5000</v>
      </c>
      <c r="M126" s="15" t="s">
        <v>348</v>
      </c>
      <c r="N126" s="15" t="s">
        <v>349</v>
      </c>
      <c r="O126" s="15" t="s">
        <v>350</v>
      </c>
      <c r="P126" s="15" t="s">
        <v>351</v>
      </c>
      <c r="Q126" s="15" t="s">
        <v>269</v>
      </c>
      <c r="R126" s="15" t="s">
        <v>270</v>
      </c>
      <c r="S126" s="15">
        <v>250000</v>
      </c>
      <c r="T126" s="31" t="s">
        <v>271</v>
      </c>
      <c r="U126" s="33" t="s">
        <v>315</v>
      </c>
      <c r="V126" s="33" t="s">
        <v>315</v>
      </c>
    </row>
    <row r="127" ht="18" hidden="1" customHeight="1" spans="1:22">
      <c r="A127" s="11" t="s">
        <v>345</v>
      </c>
      <c r="B127" s="11" t="s">
        <v>280</v>
      </c>
      <c r="C127" s="11" t="str">
        <f t="shared" si="11"/>
        <v>GBS </v>
      </c>
      <c r="D127" s="15" t="s">
        <v>65</v>
      </c>
      <c r="E127" s="15">
        <v>4</v>
      </c>
      <c r="F127" s="23" t="s">
        <v>281</v>
      </c>
      <c r="G127" s="15" t="s">
        <v>357</v>
      </c>
      <c r="H127" s="15" t="s">
        <v>277</v>
      </c>
      <c r="I127" s="15" t="s">
        <v>264</v>
      </c>
      <c r="J127" s="15" t="s">
        <v>347</v>
      </c>
      <c r="K127" s="15">
        <v>1</v>
      </c>
      <c r="L127" s="15">
        <v>5000</v>
      </c>
      <c r="M127" s="15" t="s">
        <v>348</v>
      </c>
      <c r="N127" s="15" t="s">
        <v>349</v>
      </c>
      <c r="O127" s="15" t="s">
        <v>350</v>
      </c>
      <c r="P127" s="15" t="s">
        <v>351</v>
      </c>
      <c r="Q127" s="15" t="s">
        <v>269</v>
      </c>
      <c r="R127" s="15" t="s">
        <v>270</v>
      </c>
      <c r="S127" s="15">
        <v>250000</v>
      </c>
      <c r="T127" s="31" t="s">
        <v>271</v>
      </c>
      <c r="U127" s="33" t="s">
        <v>315</v>
      </c>
      <c r="V127" s="33" t="s">
        <v>315</v>
      </c>
    </row>
    <row r="128" ht="18" hidden="1" customHeight="1" spans="1:22">
      <c r="A128" s="11" t="s">
        <v>345</v>
      </c>
      <c r="B128" s="11" t="s">
        <v>280</v>
      </c>
      <c r="C128" s="11" t="str">
        <f t="shared" si="11"/>
        <v>OYX </v>
      </c>
      <c r="D128" s="15" t="s">
        <v>119</v>
      </c>
      <c r="E128" s="15">
        <v>5</v>
      </c>
      <c r="F128" s="23" t="s">
        <v>281</v>
      </c>
      <c r="G128" s="15" t="s">
        <v>358</v>
      </c>
      <c r="H128" s="15" t="s">
        <v>277</v>
      </c>
      <c r="I128" s="15" t="s">
        <v>277</v>
      </c>
      <c r="J128" s="15" t="s">
        <v>347</v>
      </c>
      <c r="K128" s="15">
        <v>1</v>
      </c>
      <c r="L128" s="15">
        <v>5000</v>
      </c>
      <c r="M128" s="15" t="s">
        <v>348</v>
      </c>
      <c r="N128" s="15" t="s">
        <v>349</v>
      </c>
      <c r="O128" s="15" t="s">
        <v>350</v>
      </c>
      <c r="P128" s="15" t="s">
        <v>351</v>
      </c>
      <c r="Q128" s="15" t="s">
        <v>269</v>
      </c>
      <c r="R128" s="15" t="s">
        <v>270</v>
      </c>
      <c r="S128" s="15">
        <v>250000</v>
      </c>
      <c r="T128" s="31" t="s">
        <v>271</v>
      </c>
      <c r="U128" s="33" t="s">
        <v>315</v>
      </c>
      <c r="V128" s="33" t="s">
        <v>315</v>
      </c>
    </row>
    <row r="129" ht="18" hidden="1" customHeight="1" spans="1:22">
      <c r="A129" s="11" t="s">
        <v>345</v>
      </c>
      <c r="B129" s="11" t="s">
        <v>280</v>
      </c>
      <c r="C129" s="11" t="str">
        <f t="shared" si="11"/>
        <v>ABT </v>
      </c>
      <c r="D129" s="15" t="s">
        <v>26</v>
      </c>
      <c r="E129" s="15">
        <v>5</v>
      </c>
      <c r="F129" s="23" t="s">
        <v>281</v>
      </c>
      <c r="G129" s="15" t="s">
        <v>358</v>
      </c>
      <c r="H129" s="15" t="s">
        <v>277</v>
      </c>
      <c r="I129" s="15" t="s">
        <v>277</v>
      </c>
      <c r="J129" s="15" t="s">
        <v>347</v>
      </c>
      <c r="K129" s="15">
        <v>1</v>
      </c>
      <c r="L129" s="15">
        <v>5000</v>
      </c>
      <c r="M129" s="15" t="s">
        <v>348</v>
      </c>
      <c r="N129" s="15" t="s">
        <v>349</v>
      </c>
      <c r="O129" s="15" t="s">
        <v>350</v>
      </c>
      <c r="P129" s="15" t="s">
        <v>351</v>
      </c>
      <c r="Q129" s="15" t="s">
        <v>269</v>
      </c>
      <c r="R129" s="15" t="s">
        <v>270</v>
      </c>
      <c r="S129" s="15">
        <v>250000</v>
      </c>
      <c r="T129" s="31" t="s">
        <v>271</v>
      </c>
      <c r="U129" s="33" t="s">
        <v>315</v>
      </c>
      <c r="V129" s="33" t="s">
        <v>315</v>
      </c>
    </row>
    <row r="130" ht="18" hidden="1" customHeight="1" spans="1:22">
      <c r="A130" s="11" t="s">
        <v>345</v>
      </c>
      <c r="B130" s="11" t="s">
        <v>280</v>
      </c>
      <c r="C130" s="11" t="str">
        <f t="shared" si="11"/>
        <v>Xingyuan </v>
      </c>
      <c r="D130" s="15" t="s">
        <v>217</v>
      </c>
      <c r="E130" s="15">
        <v>5</v>
      </c>
      <c r="F130" s="23" t="s">
        <v>281</v>
      </c>
      <c r="G130" s="15" t="s">
        <v>358</v>
      </c>
      <c r="H130" s="15" t="s">
        <v>277</v>
      </c>
      <c r="I130" s="15" t="s">
        <v>277</v>
      </c>
      <c r="J130" s="15" t="s">
        <v>347</v>
      </c>
      <c r="K130" s="15">
        <v>1</v>
      </c>
      <c r="L130" s="15">
        <v>5000</v>
      </c>
      <c r="M130" s="15" t="s">
        <v>348</v>
      </c>
      <c r="N130" s="15" t="s">
        <v>349</v>
      </c>
      <c r="O130" s="15" t="s">
        <v>350</v>
      </c>
      <c r="P130" s="15" t="s">
        <v>351</v>
      </c>
      <c r="Q130" s="15" t="s">
        <v>269</v>
      </c>
      <c r="R130" s="15" t="s">
        <v>270</v>
      </c>
      <c r="S130" s="15">
        <v>250000</v>
      </c>
      <c r="T130" s="31" t="s">
        <v>271</v>
      </c>
      <c r="U130" s="33" t="s">
        <v>315</v>
      </c>
      <c r="V130" s="33" t="s">
        <v>315</v>
      </c>
    </row>
    <row r="131" ht="18" hidden="1" customHeight="1" spans="1:22">
      <c r="A131" s="11" t="s">
        <v>345</v>
      </c>
      <c r="B131" s="11" t="s">
        <v>280</v>
      </c>
      <c r="C131" s="11" t="str">
        <f t="shared" si="11"/>
        <v>ATC </v>
      </c>
      <c r="D131" s="15" t="s">
        <v>38</v>
      </c>
      <c r="E131" s="15">
        <v>8</v>
      </c>
      <c r="F131" s="23" t="s">
        <v>281</v>
      </c>
      <c r="G131" s="15" t="s">
        <v>357</v>
      </c>
      <c r="H131" s="15" t="s">
        <v>277</v>
      </c>
      <c r="I131" s="15" t="s">
        <v>264</v>
      </c>
      <c r="J131" s="15" t="s">
        <v>347</v>
      </c>
      <c r="K131" s="15">
        <v>1</v>
      </c>
      <c r="L131" s="15">
        <v>5000</v>
      </c>
      <c r="M131" s="15" t="s">
        <v>348</v>
      </c>
      <c r="N131" s="15" t="s">
        <v>349</v>
      </c>
      <c r="O131" s="15" t="s">
        <v>350</v>
      </c>
      <c r="P131" s="15" t="s">
        <v>351</v>
      </c>
      <c r="Q131" s="15" t="s">
        <v>269</v>
      </c>
      <c r="R131" s="15" t="s">
        <v>270</v>
      </c>
      <c r="S131" s="15">
        <v>250000</v>
      </c>
      <c r="T131" s="31" t="s">
        <v>271</v>
      </c>
      <c r="U131" s="33" t="s">
        <v>315</v>
      </c>
      <c r="V131" s="33" t="s">
        <v>315</v>
      </c>
    </row>
    <row r="132" ht="18" hidden="1" customHeight="1" spans="1:22">
      <c r="A132" s="11" t="s">
        <v>345</v>
      </c>
      <c r="B132" s="11" t="s">
        <v>280</v>
      </c>
      <c r="C132" s="11" t="str">
        <f t="shared" si="11"/>
        <v>CEL </v>
      </c>
      <c r="D132" s="15" t="s">
        <v>56</v>
      </c>
      <c r="E132" s="15">
        <v>9</v>
      </c>
      <c r="F132" s="23" t="s">
        <v>281</v>
      </c>
      <c r="G132" s="15" t="s">
        <v>358</v>
      </c>
      <c r="H132" s="15" t="s">
        <v>277</v>
      </c>
      <c r="I132" s="15" t="s">
        <v>277</v>
      </c>
      <c r="J132" s="15" t="s">
        <v>347</v>
      </c>
      <c r="K132" s="15">
        <v>1</v>
      </c>
      <c r="L132" s="15">
        <v>5000</v>
      </c>
      <c r="M132" s="15" t="s">
        <v>348</v>
      </c>
      <c r="N132" s="15" t="s">
        <v>349</v>
      </c>
      <c r="O132" s="15" t="s">
        <v>350</v>
      </c>
      <c r="P132" s="15" t="s">
        <v>351</v>
      </c>
      <c r="Q132" s="15" t="s">
        <v>269</v>
      </c>
      <c r="R132" s="15" t="s">
        <v>270</v>
      </c>
      <c r="S132" s="15">
        <v>250000</v>
      </c>
      <c r="T132" s="31" t="s">
        <v>271</v>
      </c>
      <c r="U132" s="33" t="s">
        <v>315</v>
      </c>
      <c r="V132" s="33" t="s">
        <v>315</v>
      </c>
    </row>
    <row r="133" ht="18" hidden="1" customHeight="1" spans="1:22">
      <c r="A133" s="11" t="s">
        <v>345</v>
      </c>
      <c r="B133" s="11" t="s">
        <v>280</v>
      </c>
      <c r="C133" s="11" t="str">
        <f t="shared" si="11"/>
        <v>GUOO </v>
      </c>
      <c r="D133" s="15" t="s">
        <v>80</v>
      </c>
      <c r="E133" s="15">
        <v>9</v>
      </c>
      <c r="F133" s="23" t="s">
        <v>281</v>
      </c>
      <c r="G133" s="15" t="s">
        <v>356</v>
      </c>
      <c r="H133" s="15" t="s">
        <v>277</v>
      </c>
      <c r="I133" s="15" t="s">
        <v>277</v>
      </c>
      <c r="J133" s="15" t="s">
        <v>347</v>
      </c>
      <c r="K133" s="15">
        <v>1</v>
      </c>
      <c r="L133" s="15">
        <v>5000</v>
      </c>
      <c r="M133" s="15" t="s">
        <v>348</v>
      </c>
      <c r="N133" s="15" t="s">
        <v>349</v>
      </c>
      <c r="O133" s="15" t="s">
        <v>350</v>
      </c>
      <c r="P133" s="15" t="s">
        <v>351</v>
      </c>
      <c r="Q133" s="15" t="s">
        <v>269</v>
      </c>
      <c r="R133" s="15" t="s">
        <v>270</v>
      </c>
      <c r="S133" s="15">
        <v>250000</v>
      </c>
      <c r="T133" s="31" t="s">
        <v>271</v>
      </c>
      <c r="U133" s="33" t="s">
        <v>315</v>
      </c>
      <c r="V133" s="33" t="s">
        <v>315</v>
      </c>
    </row>
    <row r="134" ht="18" hidden="1" customHeight="1" spans="1:22">
      <c r="A134" s="16" t="s">
        <v>278</v>
      </c>
      <c r="B134" s="16" t="s">
        <v>278</v>
      </c>
      <c r="C134" s="16" t="s">
        <v>278</v>
      </c>
      <c r="D134" s="16" t="s">
        <v>278</v>
      </c>
      <c r="E134" s="16" t="s">
        <v>279</v>
      </c>
      <c r="F134" s="16" t="s">
        <v>278</v>
      </c>
      <c r="G134" s="16" t="s">
        <v>278</v>
      </c>
      <c r="H134" s="16" t="s">
        <v>278</v>
      </c>
      <c r="I134" s="16" t="s">
        <v>278</v>
      </c>
      <c r="J134" s="16" t="s">
        <v>278</v>
      </c>
      <c r="K134" s="16" t="s">
        <v>278</v>
      </c>
      <c r="L134" s="16" t="s">
        <v>278</v>
      </c>
      <c r="M134" s="16"/>
      <c r="N134" s="16"/>
      <c r="O134" s="16"/>
      <c r="P134" s="16"/>
      <c r="Q134" s="16" t="s">
        <v>278</v>
      </c>
      <c r="R134" s="16" t="s">
        <v>278</v>
      </c>
      <c r="S134" s="16" t="s">
        <v>278</v>
      </c>
      <c r="T134" s="16" t="s">
        <v>278</v>
      </c>
      <c r="U134" s="16" t="s">
        <v>278</v>
      </c>
      <c r="V134" s="16" t="s">
        <v>278</v>
      </c>
    </row>
    <row r="135" ht="18" hidden="1" customHeight="1" spans="1:22">
      <c r="A135" s="11" t="s">
        <v>345</v>
      </c>
      <c r="B135" s="11" t="s">
        <v>287</v>
      </c>
      <c r="C135" s="11" t="str">
        <f t="shared" ref="C135:C144" si="12">LEFT(D135,SEARCH(" ",D135))</f>
        <v>ZTO </v>
      </c>
      <c r="D135" s="15" t="s">
        <v>221</v>
      </c>
      <c r="E135" s="15">
        <v>1</v>
      </c>
      <c r="F135" s="23" t="s">
        <v>326</v>
      </c>
      <c r="G135" s="15" t="s">
        <v>359</v>
      </c>
      <c r="H135" s="15" t="s">
        <v>277</v>
      </c>
      <c r="I135" s="15" t="s">
        <v>264</v>
      </c>
      <c r="J135" s="15" t="s">
        <v>347</v>
      </c>
      <c r="K135" s="15">
        <v>1</v>
      </c>
      <c r="L135" s="15">
        <v>5000</v>
      </c>
      <c r="M135" s="15" t="s">
        <v>348</v>
      </c>
      <c r="N135" s="15" t="s">
        <v>349</v>
      </c>
      <c r="O135" s="15" t="s">
        <v>350</v>
      </c>
      <c r="P135" s="15" t="s">
        <v>351</v>
      </c>
      <c r="Q135" s="15" t="s">
        <v>269</v>
      </c>
      <c r="R135" s="15" t="s">
        <v>270</v>
      </c>
      <c r="S135" s="15">
        <v>250000</v>
      </c>
      <c r="T135" s="31" t="s">
        <v>271</v>
      </c>
      <c r="U135" s="33" t="s">
        <v>315</v>
      </c>
      <c r="V135" s="33" t="s">
        <v>315</v>
      </c>
    </row>
    <row r="136" ht="18" hidden="1" customHeight="1" spans="1:22">
      <c r="A136" s="11" t="s">
        <v>345</v>
      </c>
      <c r="B136" s="11" t="s">
        <v>287</v>
      </c>
      <c r="C136" s="11" t="str">
        <f t="shared" si="12"/>
        <v>Ural </v>
      </c>
      <c r="D136" s="15" t="s">
        <v>187</v>
      </c>
      <c r="E136" s="15">
        <v>1</v>
      </c>
      <c r="F136" s="23" t="s">
        <v>326</v>
      </c>
      <c r="G136" s="15" t="s">
        <v>359</v>
      </c>
      <c r="H136" s="15" t="s">
        <v>277</v>
      </c>
      <c r="I136" s="15" t="s">
        <v>277</v>
      </c>
      <c r="J136" s="15" t="s">
        <v>347</v>
      </c>
      <c r="K136" s="15">
        <v>1</v>
      </c>
      <c r="L136" s="15">
        <v>5000</v>
      </c>
      <c r="M136" s="15" t="s">
        <v>348</v>
      </c>
      <c r="N136" s="15" t="s">
        <v>349</v>
      </c>
      <c r="O136" s="15" t="s">
        <v>350</v>
      </c>
      <c r="P136" s="15" t="s">
        <v>351</v>
      </c>
      <c r="Q136" s="15" t="s">
        <v>269</v>
      </c>
      <c r="R136" s="15" t="s">
        <v>270</v>
      </c>
      <c r="S136" s="15">
        <v>250000</v>
      </c>
      <c r="T136" s="31" t="s">
        <v>271</v>
      </c>
      <c r="U136" s="33" t="s">
        <v>315</v>
      </c>
      <c r="V136" s="33" t="s">
        <v>315</v>
      </c>
    </row>
    <row r="137" ht="18" customHeight="1" spans="1:22">
      <c r="A137" s="11" t="s">
        <v>345</v>
      </c>
      <c r="B137" s="11" t="s">
        <v>287</v>
      </c>
      <c r="C137" s="11" t="str">
        <f t="shared" si="12"/>
        <v>RETS </v>
      </c>
      <c r="D137" s="15" t="s">
        <v>125</v>
      </c>
      <c r="E137" s="15">
        <v>1</v>
      </c>
      <c r="F137" s="23" t="s">
        <v>326</v>
      </c>
      <c r="G137" s="15" t="s">
        <v>359</v>
      </c>
      <c r="H137" s="15" t="s">
        <v>277</v>
      </c>
      <c r="I137" s="15" t="s">
        <v>277</v>
      </c>
      <c r="J137" s="15" t="s">
        <v>347</v>
      </c>
      <c r="K137" s="15">
        <v>1</v>
      </c>
      <c r="L137" s="15">
        <v>5000</v>
      </c>
      <c r="M137" s="15" t="s">
        <v>348</v>
      </c>
      <c r="N137" s="15" t="s">
        <v>349</v>
      </c>
      <c r="O137" s="15" t="s">
        <v>350</v>
      </c>
      <c r="P137" s="15" t="s">
        <v>351</v>
      </c>
      <c r="Q137" s="15" t="s">
        <v>269</v>
      </c>
      <c r="R137" s="15" t="s">
        <v>270</v>
      </c>
      <c r="S137" s="15">
        <v>250000</v>
      </c>
      <c r="T137" s="31" t="s">
        <v>271</v>
      </c>
      <c r="U137" s="33" t="s">
        <v>315</v>
      </c>
      <c r="V137" s="33" t="s">
        <v>315</v>
      </c>
    </row>
    <row r="138" ht="18" hidden="1" customHeight="1" spans="1:22">
      <c r="A138" s="11" t="s">
        <v>345</v>
      </c>
      <c r="B138" s="11" t="s">
        <v>287</v>
      </c>
      <c r="C138" s="11" t="str">
        <f t="shared" si="12"/>
        <v>GBS </v>
      </c>
      <c r="D138" s="15" t="s">
        <v>59</v>
      </c>
      <c r="E138" s="15">
        <v>4</v>
      </c>
      <c r="F138" s="23" t="s">
        <v>326</v>
      </c>
      <c r="G138" s="15" t="s">
        <v>360</v>
      </c>
      <c r="H138" s="15" t="s">
        <v>277</v>
      </c>
      <c r="I138" s="15" t="s">
        <v>264</v>
      </c>
      <c r="J138" s="15" t="s">
        <v>347</v>
      </c>
      <c r="K138" s="15">
        <v>1</v>
      </c>
      <c r="L138" s="15">
        <v>5000</v>
      </c>
      <c r="M138" s="15" t="s">
        <v>348</v>
      </c>
      <c r="N138" s="15" t="s">
        <v>349</v>
      </c>
      <c r="O138" s="15" t="s">
        <v>350</v>
      </c>
      <c r="P138" s="15" t="s">
        <v>351</v>
      </c>
      <c r="Q138" s="15" t="s">
        <v>269</v>
      </c>
      <c r="R138" s="15" t="s">
        <v>270</v>
      </c>
      <c r="S138" s="15">
        <v>250000</v>
      </c>
      <c r="T138" s="31" t="s">
        <v>271</v>
      </c>
      <c r="U138" s="33" t="s">
        <v>315</v>
      </c>
      <c r="V138" s="33" t="s">
        <v>315</v>
      </c>
    </row>
    <row r="139" ht="18" hidden="1" customHeight="1" spans="1:22">
      <c r="A139" s="11" t="s">
        <v>345</v>
      </c>
      <c r="B139" s="11" t="s">
        <v>287</v>
      </c>
      <c r="C139" s="11" t="str">
        <f t="shared" si="12"/>
        <v>OYX </v>
      </c>
      <c r="D139" s="15" t="s">
        <v>107</v>
      </c>
      <c r="E139" s="15">
        <v>5</v>
      </c>
      <c r="F139" s="23" t="s">
        <v>326</v>
      </c>
      <c r="G139" s="15" t="s">
        <v>361</v>
      </c>
      <c r="H139" s="15" t="s">
        <v>277</v>
      </c>
      <c r="I139" s="15" t="s">
        <v>277</v>
      </c>
      <c r="J139" s="15" t="s">
        <v>347</v>
      </c>
      <c r="K139" s="15">
        <v>1</v>
      </c>
      <c r="L139" s="15">
        <v>5000</v>
      </c>
      <c r="M139" s="15" t="s">
        <v>348</v>
      </c>
      <c r="N139" s="15" t="s">
        <v>349</v>
      </c>
      <c r="O139" s="15" t="s">
        <v>350</v>
      </c>
      <c r="P139" s="15" t="s">
        <v>351</v>
      </c>
      <c r="Q139" s="15" t="s">
        <v>269</v>
      </c>
      <c r="R139" s="15" t="s">
        <v>270</v>
      </c>
      <c r="S139" s="15">
        <v>250000</v>
      </c>
      <c r="T139" s="31" t="s">
        <v>271</v>
      </c>
      <c r="U139" s="33" t="s">
        <v>315</v>
      </c>
      <c r="V139" s="33" t="s">
        <v>315</v>
      </c>
    </row>
    <row r="140" ht="18" hidden="1" customHeight="1" spans="1:22">
      <c r="A140" s="11" t="s">
        <v>345</v>
      </c>
      <c r="B140" s="11" t="s">
        <v>287</v>
      </c>
      <c r="C140" s="11" t="str">
        <f t="shared" si="12"/>
        <v>ABT </v>
      </c>
      <c r="D140" s="15" t="s">
        <v>14</v>
      </c>
      <c r="E140" s="15">
        <v>5</v>
      </c>
      <c r="F140" s="23" t="s">
        <v>326</v>
      </c>
      <c r="G140" s="15" t="s">
        <v>361</v>
      </c>
      <c r="H140" s="15" t="s">
        <v>277</v>
      </c>
      <c r="I140" s="15" t="s">
        <v>277</v>
      </c>
      <c r="J140" s="15" t="s">
        <v>347</v>
      </c>
      <c r="K140" s="15">
        <v>1</v>
      </c>
      <c r="L140" s="15">
        <v>5000</v>
      </c>
      <c r="M140" s="15" t="s">
        <v>348</v>
      </c>
      <c r="N140" s="15" t="s">
        <v>349</v>
      </c>
      <c r="O140" s="15" t="s">
        <v>350</v>
      </c>
      <c r="P140" s="15" t="s">
        <v>351</v>
      </c>
      <c r="Q140" s="15" t="s">
        <v>269</v>
      </c>
      <c r="R140" s="15" t="s">
        <v>270</v>
      </c>
      <c r="S140" s="15">
        <v>250000</v>
      </c>
      <c r="T140" s="31" t="s">
        <v>271</v>
      </c>
      <c r="U140" s="33" t="s">
        <v>315</v>
      </c>
      <c r="V140" s="33" t="s">
        <v>315</v>
      </c>
    </row>
    <row r="141" ht="18" hidden="1" customHeight="1" spans="1:22">
      <c r="A141" s="11" t="s">
        <v>345</v>
      </c>
      <c r="B141" s="11" t="s">
        <v>287</v>
      </c>
      <c r="C141" s="11" t="str">
        <f t="shared" si="12"/>
        <v>Xingyuan </v>
      </c>
      <c r="D141" s="15" t="s">
        <v>205</v>
      </c>
      <c r="E141" s="15">
        <v>5</v>
      </c>
      <c r="F141" s="23" t="s">
        <v>326</v>
      </c>
      <c r="G141" s="15" t="s">
        <v>361</v>
      </c>
      <c r="H141" s="15" t="s">
        <v>277</v>
      </c>
      <c r="I141" s="15" t="s">
        <v>277</v>
      </c>
      <c r="J141" s="15" t="s">
        <v>347</v>
      </c>
      <c r="K141" s="15">
        <v>1</v>
      </c>
      <c r="L141" s="15">
        <v>5000</v>
      </c>
      <c r="M141" s="15" t="s">
        <v>348</v>
      </c>
      <c r="N141" s="15" t="s">
        <v>349</v>
      </c>
      <c r="O141" s="15" t="s">
        <v>350</v>
      </c>
      <c r="P141" s="15" t="s">
        <v>351</v>
      </c>
      <c r="Q141" s="15" t="s">
        <v>269</v>
      </c>
      <c r="R141" s="15" t="s">
        <v>270</v>
      </c>
      <c r="S141" s="15">
        <v>250000</v>
      </c>
      <c r="T141" s="31" t="s">
        <v>271</v>
      </c>
      <c r="U141" s="33" t="s">
        <v>315</v>
      </c>
      <c r="V141" s="33" t="s">
        <v>315</v>
      </c>
    </row>
    <row r="142" ht="18" hidden="1" customHeight="1" spans="1:22">
      <c r="A142" s="11" t="s">
        <v>345</v>
      </c>
      <c r="B142" s="11" t="s">
        <v>287</v>
      </c>
      <c r="C142" s="11" t="str">
        <f t="shared" si="12"/>
        <v>CEL </v>
      </c>
      <c r="D142" s="15" t="s">
        <v>44</v>
      </c>
      <c r="E142" s="15">
        <v>5</v>
      </c>
      <c r="F142" s="23" t="s">
        <v>326</v>
      </c>
      <c r="G142" s="15" t="s">
        <v>361</v>
      </c>
      <c r="H142" s="15" t="s">
        <v>277</v>
      </c>
      <c r="I142" s="15" t="s">
        <v>277</v>
      </c>
      <c r="J142" s="15" t="s">
        <v>347</v>
      </c>
      <c r="K142" s="15">
        <v>1</v>
      </c>
      <c r="L142" s="15">
        <v>5000</v>
      </c>
      <c r="M142" s="15" t="s">
        <v>348</v>
      </c>
      <c r="N142" s="15" t="s">
        <v>349</v>
      </c>
      <c r="O142" s="15" t="s">
        <v>350</v>
      </c>
      <c r="P142" s="15" t="s">
        <v>351</v>
      </c>
      <c r="Q142" s="15" t="s">
        <v>269</v>
      </c>
      <c r="R142" s="15" t="s">
        <v>270</v>
      </c>
      <c r="S142" s="15">
        <v>250000</v>
      </c>
      <c r="T142" s="31" t="s">
        <v>271</v>
      </c>
      <c r="U142" s="33" t="s">
        <v>315</v>
      </c>
      <c r="V142" s="33" t="s">
        <v>315</v>
      </c>
    </row>
    <row r="143" ht="18" hidden="1" customHeight="1" spans="1:22">
      <c r="A143" s="11" t="s">
        <v>345</v>
      </c>
      <c r="B143" s="11" t="s">
        <v>287</v>
      </c>
      <c r="C143" s="11" t="str">
        <f t="shared" si="12"/>
        <v>GUOO </v>
      </c>
      <c r="D143" s="15" t="s">
        <v>71</v>
      </c>
      <c r="E143" s="15">
        <v>9</v>
      </c>
      <c r="F143" s="23" t="s">
        <v>326</v>
      </c>
      <c r="G143" s="15" t="s">
        <v>359</v>
      </c>
      <c r="H143" s="15" t="s">
        <v>277</v>
      </c>
      <c r="I143" s="15" t="s">
        <v>277</v>
      </c>
      <c r="J143" s="15" t="s">
        <v>347</v>
      </c>
      <c r="K143" s="15">
        <v>1</v>
      </c>
      <c r="L143" s="15">
        <v>5000</v>
      </c>
      <c r="M143" s="15" t="s">
        <v>348</v>
      </c>
      <c r="N143" s="15" t="s">
        <v>349</v>
      </c>
      <c r="O143" s="15" t="s">
        <v>350</v>
      </c>
      <c r="P143" s="15" t="s">
        <v>351</v>
      </c>
      <c r="Q143" s="15" t="s">
        <v>269</v>
      </c>
      <c r="R143" s="15" t="s">
        <v>270</v>
      </c>
      <c r="S143" s="15">
        <v>250000</v>
      </c>
      <c r="T143" s="31" t="s">
        <v>271</v>
      </c>
      <c r="U143" s="33" t="s">
        <v>315</v>
      </c>
      <c r="V143" s="33" t="s">
        <v>315</v>
      </c>
    </row>
    <row r="144" ht="18" hidden="1" customHeight="1" spans="1:22">
      <c r="A144" s="11" t="s">
        <v>345</v>
      </c>
      <c r="B144" s="11" t="s">
        <v>287</v>
      </c>
      <c r="C144" s="11" t="str">
        <f t="shared" si="12"/>
        <v>ATC </v>
      </c>
      <c r="D144" s="15" t="s">
        <v>32</v>
      </c>
      <c r="E144" s="15">
        <v>10</v>
      </c>
      <c r="F144" s="23" t="s">
        <v>326</v>
      </c>
      <c r="G144" s="15" t="s">
        <v>362</v>
      </c>
      <c r="H144" s="15" t="s">
        <v>277</v>
      </c>
      <c r="I144" s="15" t="s">
        <v>264</v>
      </c>
      <c r="J144" s="15" t="s">
        <v>347</v>
      </c>
      <c r="K144" s="15">
        <v>1</v>
      </c>
      <c r="L144" s="15">
        <v>5000</v>
      </c>
      <c r="M144" s="15" t="s">
        <v>348</v>
      </c>
      <c r="N144" s="15" t="s">
        <v>349</v>
      </c>
      <c r="O144" s="15" t="s">
        <v>350</v>
      </c>
      <c r="P144" s="15" t="s">
        <v>351</v>
      </c>
      <c r="Q144" s="15" t="s">
        <v>269</v>
      </c>
      <c r="R144" s="15" t="s">
        <v>270</v>
      </c>
      <c r="S144" s="15">
        <v>250000</v>
      </c>
      <c r="T144" s="31" t="s">
        <v>271</v>
      </c>
      <c r="U144" s="33" t="s">
        <v>315</v>
      </c>
      <c r="V144" s="33" t="s">
        <v>315</v>
      </c>
    </row>
    <row r="145" ht="18" hidden="1" customHeight="1" spans="1:22">
      <c r="A145" s="16" t="s">
        <v>278</v>
      </c>
      <c r="B145" s="16" t="s">
        <v>278</v>
      </c>
      <c r="C145" s="16" t="s">
        <v>278</v>
      </c>
      <c r="D145" s="16" t="s">
        <v>278</v>
      </c>
      <c r="E145" s="16" t="s">
        <v>279</v>
      </c>
      <c r="F145" s="16" t="s">
        <v>278</v>
      </c>
      <c r="G145" s="16" t="s">
        <v>278</v>
      </c>
      <c r="H145" s="16" t="s">
        <v>278</v>
      </c>
      <c r="I145" s="16" t="s">
        <v>278</v>
      </c>
      <c r="J145" s="16" t="s">
        <v>278</v>
      </c>
      <c r="K145" s="16" t="s">
        <v>278</v>
      </c>
      <c r="L145" s="16" t="s">
        <v>278</v>
      </c>
      <c r="M145" s="16"/>
      <c r="N145" s="16"/>
      <c r="O145" s="16"/>
      <c r="P145" s="16"/>
      <c r="Q145" s="16" t="s">
        <v>278</v>
      </c>
      <c r="R145" s="16" t="s">
        <v>278</v>
      </c>
      <c r="S145" s="16" t="s">
        <v>278</v>
      </c>
      <c r="T145" s="16" t="s">
        <v>278</v>
      </c>
      <c r="U145" s="16" t="s">
        <v>278</v>
      </c>
      <c r="V145" s="16" t="s">
        <v>278</v>
      </c>
    </row>
    <row r="146" ht="18" hidden="1" customHeight="1" spans="1:22">
      <c r="A146" s="11" t="s">
        <v>363</v>
      </c>
      <c r="B146" s="11" t="s">
        <v>261</v>
      </c>
      <c r="C146" s="11" t="str">
        <f t="shared" ref="C146" si="13">LEFT(D146,SEARCH(" ",D146))</f>
        <v>Ural </v>
      </c>
      <c r="D146" s="15" t="s">
        <v>192</v>
      </c>
      <c r="E146" s="15">
        <v>1</v>
      </c>
      <c r="F146" s="23" t="s">
        <v>262</v>
      </c>
      <c r="G146" s="15" t="s">
        <v>364</v>
      </c>
      <c r="H146" s="15" t="s">
        <v>264</v>
      </c>
      <c r="I146" s="15" t="s">
        <v>264</v>
      </c>
      <c r="J146" s="15" t="s">
        <v>334</v>
      </c>
      <c r="K146" s="15">
        <v>5001</v>
      </c>
      <c r="L146" s="15">
        <v>30000</v>
      </c>
      <c r="M146" s="15" t="s">
        <v>348</v>
      </c>
      <c r="N146" s="15" t="s">
        <v>349</v>
      </c>
      <c r="O146" s="15" t="s">
        <v>350</v>
      </c>
      <c r="P146" s="15" t="s">
        <v>351</v>
      </c>
      <c r="Q146" s="34" t="s">
        <v>335</v>
      </c>
      <c r="R146" s="15" t="s">
        <v>336</v>
      </c>
      <c r="S146" s="15">
        <v>250000</v>
      </c>
      <c r="T146" s="31" t="s">
        <v>271</v>
      </c>
      <c r="U146" s="33" t="s">
        <v>315</v>
      </c>
      <c r="V146" s="33" t="s">
        <v>315</v>
      </c>
    </row>
    <row r="147" ht="18" hidden="1" customHeight="1" spans="1:22">
      <c r="A147" s="16" t="s">
        <v>278</v>
      </c>
      <c r="B147" s="16" t="s">
        <v>278</v>
      </c>
      <c r="C147" s="16" t="s">
        <v>278</v>
      </c>
      <c r="D147" s="16" t="s">
        <v>278</v>
      </c>
      <c r="E147" s="16" t="s">
        <v>279</v>
      </c>
      <c r="F147" s="16" t="s">
        <v>278</v>
      </c>
      <c r="G147" s="16" t="s">
        <v>278</v>
      </c>
      <c r="H147" s="16" t="s">
        <v>278</v>
      </c>
      <c r="I147" s="16" t="s">
        <v>278</v>
      </c>
      <c r="J147" s="16" t="s">
        <v>278</v>
      </c>
      <c r="K147" s="16" t="s">
        <v>278</v>
      </c>
      <c r="L147" s="16" t="s">
        <v>278</v>
      </c>
      <c r="M147" s="16"/>
      <c r="N147" s="16"/>
      <c r="O147" s="16"/>
      <c r="P147" s="16"/>
      <c r="Q147" s="16" t="s">
        <v>278</v>
      </c>
      <c r="R147" s="16" t="s">
        <v>278</v>
      </c>
      <c r="S147" s="16" t="s">
        <v>278</v>
      </c>
      <c r="T147" s="16" t="s">
        <v>278</v>
      </c>
      <c r="U147" s="16" t="s">
        <v>278</v>
      </c>
      <c r="V147" s="16" t="s">
        <v>278</v>
      </c>
    </row>
    <row r="148" ht="18" hidden="1" customHeight="1" spans="1:22">
      <c r="A148" s="11" t="s">
        <v>363</v>
      </c>
      <c r="B148" s="11" t="s">
        <v>280</v>
      </c>
      <c r="C148" s="11" t="str">
        <f t="shared" ref="C148:C155" si="14">LEFT(D148,SEARCH(" ",D148))</f>
        <v>ZTO </v>
      </c>
      <c r="D148" s="15" t="s">
        <v>233</v>
      </c>
      <c r="E148" s="15">
        <v>1</v>
      </c>
      <c r="F148" s="23" t="s">
        <v>281</v>
      </c>
      <c r="G148" s="15" t="s">
        <v>365</v>
      </c>
      <c r="H148" s="15" t="s">
        <v>277</v>
      </c>
      <c r="I148" s="15" t="s">
        <v>264</v>
      </c>
      <c r="J148" s="15" t="s">
        <v>334</v>
      </c>
      <c r="K148" s="15">
        <v>5001</v>
      </c>
      <c r="L148" s="15">
        <v>30000</v>
      </c>
      <c r="M148" s="15" t="s">
        <v>348</v>
      </c>
      <c r="N148" s="15" t="s">
        <v>349</v>
      </c>
      <c r="O148" s="15" t="s">
        <v>350</v>
      </c>
      <c r="P148" s="15" t="s">
        <v>351</v>
      </c>
      <c r="Q148" s="34" t="s">
        <v>335</v>
      </c>
      <c r="R148" s="15" t="s">
        <v>336</v>
      </c>
      <c r="S148" s="15">
        <v>250000</v>
      </c>
      <c r="T148" s="31" t="s">
        <v>271</v>
      </c>
      <c r="U148" s="33" t="s">
        <v>315</v>
      </c>
      <c r="V148" s="33" t="s">
        <v>315</v>
      </c>
    </row>
    <row r="149" ht="18" hidden="1" customHeight="1" spans="1:22">
      <c r="A149" s="11" t="s">
        <v>363</v>
      </c>
      <c r="B149" s="11" t="s">
        <v>280</v>
      </c>
      <c r="C149" s="11" t="str">
        <f t="shared" si="14"/>
        <v>Ural </v>
      </c>
      <c r="D149" s="15" t="s">
        <v>198</v>
      </c>
      <c r="E149" s="15">
        <v>1</v>
      </c>
      <c r="F149" s="23" t="s">
        <v>281</v>
      </c>
      <c r="G149" s="15" t="s">
        <v>365</v>
      </c>
      <c r="H149" s="15" t="s">
        <v>277</v>
      </c>
      <c r="I149" s="15" t="s">
        <v>264</v>
      </c>
      <c r="J149" s="15" t="s">
        <v>334</v>
      </c>
      <c r="K149" s="15">
        <v>5001</v>
      </c>
      <c r="L149" s="15">
        <v>30000</v>
      </c>
      <c r="M149" s="15" t="s">
        <v>348</v>
      </c>
      <c r="N149" s="15" t="s">
        <v>349</v>
      </c>
      <c r="O149" s="15" t="s">
        <v>350</v>
      </c>
      <c r="P149" s="15" t="s">
        <v>351</v>
      </c>
      <c r="Q149" s="34" t="s">
        <v>335</v>
      </c>
      <c r="R149" s="15" t="s">
        <v>336</v>
      </c>
      <c r="S149" s="15">
        <v>250000</v>
      </c>
      <c r="T149" s="31" t="s">
        <v>271</v>
      </c>
      <c r="U149" s="33" t="s">
        <v>315</v>
      </c>
      <c r="V149" s="33" t="s">
        <v>315</v>
      </c>
    </row>
    <row r="150" ht="18" hidden="1" customHeight="1" spans="1:22">
      <c r="A150" s="11" t="s">
        <v>363</v>
      </c>
      <c r="B150" s="11" t="s">
        <v>280</v>
      </c>
      <c r="C150" s="11" t="str">
        <f t="shared" si="14"/>
        <v>CEL </v>
      </c>
      <c r="D150" s="15" t="s">
        <v>55</v>
      </c>
      <c r="E150" s="15">
        <v>3</v>
      </c>
      <c r="F150" s="23" t="s">
        <v>281</v>
      </c>
      <c r="G150" s="15" t="s">
        <v>366</v>
      </c>
      <c r="H150" s="15" t="s">
        <v>277</v>
      </c>
      <c r="I150" s="15" t="s">
        <v>277</v>
      </c>
      <c r="J150" s="15" t="s">
        <v>334</v>
      </c>
      <c r="K150" s="15">
        <v>5001</v>
      </c>
      <c r="L150" s="15">
        <v>30000</v>
      </c>
      <c r="M150" s="15" t="s">
        <v>348</v>
      </c>
      <c r="N150" s="15" t="s">
        <v>349</v>
      </c>
      <c r="O150" s="15" t="s">
        <v>350</v>
      </c>
      <c r="P150" s="15" t="s">
        <v>351</v>
      </c>
      <c r="Q150" s="34" t="s">
        <v>335</v>
      </c>
      <c r="R150" s="15" t="s">
        <v>336</v>
      </c>
      <c r="S150" s="15">
        <v>250000</v>
      </c>
      <c r="T150" s="31" t="s">
        <v>271</v>
      </c>
      <c r="U150" s="33" t="s">
        <v>315</v>
      </c>
      <c r="V150" s="33" t="s">
        <v>315</v>
      </c>
    </row>
    <row r="151" ht="18" hidden="1" customHeight="1" spans="1:22">
      <c r="A151" s="11" t="s">
        <v>363</v>
      </c>
      <c r="B151" s="11" t="s">
        <v>280</v>
      </c>
      <c r="C151" s="11" t="str">
        <f t="shared" si="14"/>
        <v>ABT </v>
      </c>
      <c r="D151" s="15" t="s">
        <v>25</v>
      </c>
      <c r="E151" s="15">
        <v>3</v>
      </c>
      <c r="F151" s="23" t="s">
        <v>281</v>
      </c>
      <c r="G151" s="15" t="s">
        <v>366</v>
      </c>
      <c r="H151" s="15" t="s">
        <v>277</v>
      </c>
      <c r="I151" s="15" t="s">
        <v>277</v>
      </c>
      <c r="J151" s="15" t="s">
        <v>334</v>
      </c>
      <c r="K151" s="15">
        <v>5001</v>
      </c>
      <c r="L151" s="15">
        <v>30000</v>
      </c>
      <c r="M151" s="15" t="s">
        <v>348</v>
      </c>
      <c r="N151" s="15" t="s">
        <v>349</v>
      </c>
      <c r="O151" s="15" t="s">
        <v>350</v>
      </c>
      <c r="P151" s="15" t="s">
        <v>351</v>
      </c>
      <c r="Q151" s="34" t="s">
        <v>335</v>
      </c>
      <c r="R151" s="15" t="s">
        <v>336</v>
      </c>
      <c r="S151" s="15">
        <v>250000</v>
      </c>
      <c r="T151" s="31" t="s">
        <v>271</v>
      </c>
      <c r="U151" s="33" t="s">
        <v>315</v>
      </c>
      <c r="V151" s="33" t="s">
        <v>315</v>
      </c>
    </row>
    <row r="152" ht="18" hidden="1" customHeight="1" spans="1:22">
      <c r="A152" s="11" t="s">
        <v>363</v>
      </c>
      <c r="B152" s="11" t="s">
        <v>280</v>
      </c>
      <c r="C152" s="11" t="str">
        <f t="shared" si="14"/>
        <v>OYX </v>
      </c>
      <c r="D152" s="15" t="s">
        <v>118</v>
      </c>
      <c r="E152" s="15">
        <v>3</v>
      </c>
      <c r="F152" s="23" t="s">
        <v>281</v>
      </c>
      <c r="G152" s="15" t="s">
        <v>366</v>
      </c>
      <c r="H152" s="15" t="s">
        <v>277</v>
      </c>
      <c r="I152" s="15" t="s">
        <v>277</v>
      </c>
      <c r="J152" s="15" t="s">
        <v>334</v>
      </c>
      <c r="K152" s="15">
        <v>5001</v>
      </c>
      <c r="L152" s="15">
        <v>30000</v>
      </c>
      <c r="M152" s="15" t="s">
        <v>348</v>
      </c>
      <c r="N152" s="15" t="s">
        <v>349</v>
      </c>
      <c r="O152" s="15" t="s">
        <v>350</v>
      </c>
      <c r="P152" s="15" t="s">
        <v>351</v>
      </c>
      <c r="Q152" s="34" t="s">
        <v>335</v>
      </c>
      <c r="R152" s="15" t="s">
        <v>336</v>
      </c>
      <c r="S152" s="15">
        <v>250000</v>
      </c>
      <c r="T152" s="31" t="s">
        <v>271</v>
      </c>
      <c r="U152" s="33" t="s">
        <v>315</v>
      </c>
      <c r="V152" s="33" t="s">
        <v>315</v>
      </c>
    </row>
    <row r="153" ht="18" hidden="1" customHeight="1" spans="1:22">
      <c r="A153" s="11" t="s">
        <v>363</v>
      </c>
      <c r="B153" s="11" t="s">
        <v>280</v>
      </c>
      <c r="C153" s="11" t="str">
        <f t="shared" si="14"/>
        <v>Xingyuan </v>
      </c>
      <c r="D153" s="15" t="s">
        <v>216</v>
      </c>
      <c r="E153" s="15">
        <v>3</v>
      </c>
      <c r="F153" s="23" t="s">
        <v>281</v>
      </c>
      <c r="G153" s="15" t="s">
        <v>366</v>
      </c>
      <c r="H153" s="15" t="s">
        <v>277</v>
      </c>
      <c r="I153" s="15" t="s">
        <v>277</v>
      </c>
      <c r="J153" s="15" t="s">
        <v>334</v>
      </c>
      <c r="K153" s="15">
        <v>5001</v>
      </c>
      <c r="L153" s="15">
        <v>30000</v>
      </c>
      <c r="M153" s="15" t="s">
        <v>348</v>
      </c>
      <c r="N153" s="15" t="s">
        <v>349</v>
      </c>
      <c r="O153" s="15" t="s">
        <v>350</v>
      </c>
      <c r="P153" s="15" t="s">
        <v>351</v>
      </c>
      <c r="Q153" s="34" t="s">
        <v>335</v>
      </c>
      <c r="R153" s="15" t="s">
        <v>336</v>
      </c>
      <c r="S153" s="15">
        <v>250000</v>
      </c>
      <c r="T153" s="31" t="s">
        <v>271</v>
      </c>
      <c r="U153" s="33" t="s">
        <v>315</v>
      </c>
      <c r="V153" s="33" t="s">
        <v>315</v>
      </c>
    </row>
    <row r="154" ht="18" hidden="1" customHeight="1" spans="1:22">
      <c r="A154" s="11" t="s">
        <v>363</v>
      </c>
      <c r="B154" s="11" t="s">
        <v>280</v>
      </c>
      <c r="C154" s="11" t="str">
        <f t="shared" si="14"/>
        <v>ATC </v>
      </c>
      <c r="D154" s="15" t="s">
        <v>37</v>
      </c>
      <c r="E154" s="15">
        <v>7</v>
      </c>
      <c r="F154" s="23" t="s">
        <v>281</v>
      </c>
      <c r="G154" s="15" t="s">
        <v>367</v>
      </c>
      <c r="H154" s="15" t="s">
        <v>277</v>
      </c>
      <c r="I154" s="15" t="s">
        <v>264</v>
      </c>
      <c r="J154" s="15" t="s">
        <v>334</v>
      </c>
      <c r="K154" s="15">
        <v>5001</v>
      </c>
      <c r="L154" s="15">
        <v>30000</v>
      </c>
      <c r="M154" s="15" t="s">
        <v>348</v>
      </c>
      <c r="N154" s="15" t="s">
        <v>349</v>
      </c>
      <c r="O154" s="15" t="s">
        <v>350</v>
      </c>
      <c r="P154" s="15" t="s">
        <v>351</v>
      </c>
      <c r="Q154" s="34" t="s">
        <v>335</v>
      </c>
      <c r="R154" s="15" t="s">
        <v>336</v>
      </c>
      <c r="S154" s="15">
        <v>250000</v>
      </c>
      <c r="T154" s="31" t="s">
        <v>271</v>
      </c>
      <c r="U154" s="33" t="s">
        <v>315</v>
      </c>
      <c r="V154" s="33" t="s">
        <v>315</v>
      </c>
    </row>
    <row r="155" ht="18" hidden="1" customHeight="1" spans="1:22">
      <c r="A155" s="11" t="s">
        <v>363</v>
      </c>
      <c r="B155" s="11" t="s">
        <v>280</v>
      </c>
      <c r="C155" s="11" t="str">
        <f t="shared" si="14"/>
        <v>GUOO </v>
      </c>
      <c r="D155" s="15" t="s">
        <v>79</v>
      </c>
      <c r="E155" s="15">
        <v>8</v>
      </c>
      <c r="F155" s="23" t="s">
        <v>281</v>
      </c>
      <c r="G155" s="15" t="s">
        <v>365</v>
      </c>
      <c r="H155" s="15" t="s">
        <v>277</v>
      </c>
      <c r="I155" s="15" t="s">
        <v>277</v>
      </c>
      <c r="J155" s="15" t="s">
        <v>334</v>
      </c>
      <c r="K155" s="15">
        <v>5001</v>
      </c>
      <c r="L155" s="15">
        <v>30000</v>
      </c>
      <c r="M155" s="15" t="s">
        <v>348</v>
      </c>
      <c r="N155" s="15" t="s">
        <v>349</v>
      </c>
      <c r="O155" s="15" t="s">
        <v>350</v>
      </c>
      <c r="P155" s="15" t="s">
        <v>351</v>
      </c>
      <c r="Q155" s="34" t="s">
        <v>335</v>
      </c>
      <c r="R155" s="15" t="s">
        <v>336</v>
      </c>
      <c r="S155" s="15">
        <v>250000</v>
      </c>
      <c r="T155" s="31" t="s">
        <v>271</v>
      </c>
      <c r="U155" s="33" t="s">
        <v>315</v>
      </c>
      <c r="V155" s="33" t="s">
        <v>315</v>
      </c>
    </row>
    <row r="156" ht="18" hidden="1" customHeight="1" spans="1:22">
      <c r="A156" s="16" t="s">
        <v>278</v>
      </c>
      <c r="B156" s="16" t="s">
        <v>278</v>
      </c>
      <c r="C156" s="16" t="s">
        <v>278</v>
      </c>
      <c r="D156" s="16" t="s">
        <v>278</v>
      </c>
      <c r="E156" s="16" t="s">
        <v>279</v>
      </c>
      <c r="F156" s="16" t="s">
        <v>278</v>
      </c>
      <c r="G156" s="16" t="s">
        <v>278</v>
      </c>
      <c r="H156" s="16" t="s">
        <v>278</v>
      </c>
      <c r="I156" s="16" t="s">
        <v>278</v>
      </c>
      <c r="J156" s="16" t="s">
        <v>278</v>
      </c>
      <c r="K156" s="16" t="s">
        <v>278</v>
      </c>
      <c r="L156" s="16" t="s">
        <v>278</v>
      </c>
      <c r="M156" s="16"/>
      <c r="N156" s="16"/>
      <c r="O156" s="16"/>
      <c r="P156" s="16"/>
      <c r="Q156" s="16" t="s">
        <v>278</v>
      </c>
      <c r="R156" s="16" t="s">
        <v>278</v>
      </c>
      <c r="S156" s="16" t="s">
        <v>278</v>
      </c>
      <c r="T156" s="16" t="s">
        <v>278</v>
      </c>
      <c r="U156" s="16" t="s">
        <v>278</v>
      </c>
      <c r="V156" s="16" t="s">
        <v>278</v>
      </c>
    </row>
    <row r="157" ht="18" hidden="1" customHeight="1" spans="1:22">
      <c r="A157" s="11" t="s">
        <v>363</v>
      </c>
      <c r="B157" s="11" t="s">
        <v>287</v>
      </c>
      <c r="C157" s="11" t="str">
        <f t="shared" ref="C157:C164" si="15">LEFT(D157,SEARCH(" ",D157))</f>
        <v>ZTO </v>
      </c>
      <c r="D157" s="15" t="s">
        <v>220</v>
      </c>
      <c r="E157" s="15">
        <v>1</v>
      </c>
      <c r="F157" s="23" t="s">
        <v>288</v>
      </c>
      <c r="G157" s="15" t="s">
        <v>368</v>
      </c>
      <c r="H157" s="15" t="s">
        <v>277</v>
      </c>
      <c r="I157" s="15" t="s">
        <v>264</v>
      </c>
      <c r="J157" s="15" t="s">
        <v>334</v>
      </c>
      <c r="K157" s="15">
        <v>5001</v>
      </c>
      <c r="L157" s="15">
        <v>30000</v>
      </c>
      <c r="M157" s="15" t="s">
        <v>348</v>
      </c>
      <c r="N157" s="15" t="s">
        <v>349</v>
      </c>
      <c r="O157" s="15" t="s">
        <v>350</v>
      </c>
      <c r="P157" s="15" t="s">
        <v>351</v>
      </c>
      <c r="Q157" s="34" t="s">
        <v>335</v>
      </c>
      <c r="R157" s="15" t="s">
        <v>336</v>
      </c>
      <c r="S157" s="15">
        <v>250000</v>
      </c>
      <c r="T157" s="31" t="s">
        <v>271</v>
      </c>
      <c r="U157" s="33" t="s">
        <v>315</v>
      </c>
      <c r="V157" s="33" t="s">
        <v>315</v>
      </c>
    </row>
    <row r="158" ht="18" customHeight="1" spans="1:22">
      <c r="A158" s="11" t="s">
        <v>363</v>
      </c>
      <c r="B158" s="11" t="s">
        <v>287</v>
      </c>
      <c r="C158" s="11" t="str">
        <f t="shared" si="15"/>
        <v>RETS </v>
      </c>
      <c r="D158" s="15" t="s">
        <v>124</v>
      </c>
      <c r="E158" s="15">
        <v>1</v>
      </c>
      <c r="F158" s="23" t="s">
        <v>288</v>
      </c>
      <c r="G158" s="15" t="s">
        <v>368</v>
      </c>
      <c r="H158" s="15" t="s">
        <v>277</v>
      </c>
      <c r="I158" s="15" t="s">
        <v>277</v>
      </c>
      <c r="J158" s="15" t="s">
        <v>334</v>
      </c>
      <c r="K158" s="15">
        <v>5001</v>
      </c>
      <c r="L158" s="15">
        <v>30000</v>
      </c>
      <c r="M158" s="15" t="s">
        <v>348</v>
      </c>
      <c r="N158" s="15" t="s">
        <v>349</v>
      </c>
      <c r="O158" s="15" t="s">
        <v>350</v>
      </c>
      <c r="P158" s="15" t="s">
        <v>351</v>
      </c>
      <c r="Q158" s="34" t="s">
        <v>335</v>
      </c>
      <c r="R158" s="15" t="s">
        <v>336</v>
      </c>
      <c r="S158" s="15">
        <v>250000</v>
      </c>
      <c r="T158" s="31" t="s">
        <v>271</v>
      </c>
      <c r="U158" s="33" t="s">
        <v>315</v>
      </c>
      <c r="V158" s="33" t="s">
        <v>315</v>
      </c>
    </row>
    <row r="159" ht="18" hidden="1" customHeight="1" spans="1:22">
      <c r="A159" s="11" t="s">
        <v>363</v>
      </c>
      <c r="B159" s="11" t="s">
        <v>287</v>
      </c>
      <c r="C159" s="11" t="str">
        <f t="shared" si="15"/>
        <v>GUOO </v>
      </c>
      <c r="D159" s="15" t="s">
        <v>70</v>
      </c>
      <c r="E159" s="15">
        <v>3</v>
      </c>
      <c r="F159" s="23" t="s">
        <v>288</v>
      </c>
      <c r="G159" s="15" t="s">
        <v>368</v>
      </c>
      <c r="H159" s="15" t="s">
        <v>277</v>
      </c>
      <c r="I159" s="15" t="s">
        <v>277</v>
      </c>
      <c r="J159" s="15" t="s">
        <v>334</v>
      </c>
      <c r="K159" s="15">
        <v>5001</v>
      </c>
      <c r="L159" s="15">
        <v>30000</v>
      </c>
      <c r="M159" s="15" t="s">
        <v>348</v>
      </c>
      <c r="N159" s="15" t="s">
        <v>349</v>
      </c>
      <c r="O159" s="15" t="s">
        <v>350</v>
      </c>
      <c r="P159" s="15" t="s">
        <v>351</v>
      </c>
      <c r="Q159" s="34" t="s">
        <v>335</v>
      </c>
      <c r="R159" s="15" t="s">
        <v>336</v>
      </c>
      <c r="S159" s="15">
        <v>250000</v>
      </c>
      <c r="T159" s="31" t="s">
        <v>271</v>
      </c>
      <c r="U159" s="33" t="s">
        <v>315</v>
      </c>
      <c r="V159" s="33" t="s">
        <v>315</v>
      </c>
    </row>
    <row r="160" ht="18" hidden="1" customHeight="1" spans="1:22">
      <c r="A160" s="11" t="s">
        <v>363</v>
      </c>
      <c r="B160" s="11" t="s">
        <v>287</v>
      </c>
      <c r="C160" s="11" t="str">
        <f t="shared" si="15"/>
        <v>Xingyuan </v>
      </c>
      <c r="D160" s="15" t="s">
        <v>204</v>
      </c>
      <c r="E160" s="15">
        <v>3</v>
      </c>
      <c r="F160" s="23" t="s">
        <v>288</v>
      </c>
      <c r="G160" s="15" t="s">
        <v>369</v>
      </c>
      <c r="H160" s="15" t="s">
        <v>277</v>
      </c>
      <c r="I160" s="15" t="s">
        <v>277</v>
      </c>
      <c r="J160" s="15" t="s">
        <v>334</v>
      </c>
      <c r="K160" s="15">
        <v>5001</v>
      </c>
      <c r="L160" s="15">
        <v>30000</v>
      </c>
      <c r="M160" s="15" t="s">
        <v>348</v>
      </c>
      <c r="N160" s="15" t="s">
        <v>349</v>
      </c>
      <c r="O160" s="15" t="s">
        <v>350</v>
      </c>
      <c r="P160" s="15" t="s">
        <v>351</v>
      </c>
      <c r="Q160" s="34" t="s">
        <v>335</v>
      </c>
      <c r="R160" s="15" t="s">
        <v>336</v>
      </c>
      <c r="S160" s="15">
        <v>250000</v>
      </c>
      <c r="T160" s="31" t="s">
        <v>271</v>
      </c>
      <c r="U160" s="33" t="s">
        <v>315</v>
      </c>
      <c r="V160" s="33" t="s">
        <v>315</v>
      </c>
    </row>
    <row r="161" ht="18" hidden="1" customHeight="1" spans="1:22">
      <c r="A161" s="11" t="s">
        <v>363</v>
      </c>
      <c r="B161" s="11" t="s">
        <v>287</v>
      </c>
      <c r="C161" s="11" t="str">
        <f t="shared" si="15"/>
        <v>ABT </v>
      </c>
      <c r="D161" s="15" t="s">
        <v>13</v>
      </c>
      <c r="E161" s="15">
        <v>3</v>
      </c>
      <c r="F161" s="23" t="s">
        <v>288</v>
      </c>
      <c r="G161" s="15" t="s">
        <v>369</v>
      </c>
      <c r="H161" s="15" t="s">
        <v>277</v>
      </c>
      <c r="I161" s="15" t="s">
        <v>277</v>
      </c>
      <c r="J161" s="15" t="s">
        <v>334</v>
      </c>
      <c r="K161" s="15">
        <v>5001</v>
      </c>
      <c r="L161" s="15">
        <v>30000</v>
      </c>
      <c r="M161" s="15" t="s">
        <v>348</v>
      </c>
      <c r="N161" s="15" t="s">
        <v>349</v>
      </c>
      <c r="O161" s="15" t="s">
        <v>350</v>
      </c>
      <c r="P161" s="15" t="s">
        <v>351</v>
      </c>
      <c r="Q161" s="34" t="s">
        <v>335</v>
      </c>
      <c r="R161" s="15" t="s">
        <v>336</v>
      </c>
      <c r="S161" s="15">
        <v>250000</v>
      </c>
      <c r="T161" s="31" t="s">
        <v>271</v>
      </c>
      <c r="U161" s="33" t="s">
        <v>315</v>
      </c>
      <c r="V161" s="33" t="s">
        <v>315</v>
      </c>
    </row>
    <row r="162" ht="18" hidden="1" customHeight="1" spans="1:22">
      <c r="A162" s="11" t="s">
        <v>363</v>
      </c>
      <c r="B162" s="11" t="s">
        <v>287</v>
      </c>
      <c r="C162" s="11" t="str">
        <f t="shared" si="15"/>
        <v>OYX </v>
      </c>
      <c r="D162" s="15" t="s">
        <v>106</v>
      </c>
      <c r="E162" s="15">
        <v>3</v>
      </c>
      <c r="F162" s="23" t="s">
        <v>288</v>
      </c>
      <c r="G162" s="15" t="s">
        <v>369</v>
      </c>
      <c r="H162" s="15" t="s">
        <v>277</v>
      </c>
      <c r="I162" s="15" t="s">
        <v>277</v>
      </c>
      <c r="J162" s="15" t="s">
        <v>334</v>
      </c>
      <c r="K162" s="15">
        <v>5001</v>
      </c>
      <c r="L162" s="15">
        <v>30000</v>
      </c>
      <c r="M162" s="15" t="s">
        <v>348</v>
      </c>
      <c r="N162" s="15" t="s">
        <v>349</v>
      </c>
      <c r="O162" s="15" t="s">
        <v>350</v>
      </c>
      <c r="P162" s="15" t="s">
        <v>351</v>
      </c>
      <c r="Q162" s="34" t="s">
        <v>335</v>
      </c>
      <c r="R162" s="15" t="s">
        <v>336</v>
      </c>
      <c r="S162" s="15">
        <v>250000</v>
      </c>
      <c r="T162" s="31" t="s">
        <v>271</v>
      </c>
      <c r="U162" s="33" t="s">
        <v>315</v>
      </c>
      <c r="V162" s="33" t="s">
        <v>315</v>
      </c>
    </row>
    <row r="163" ht="18" hidden="1" customHeight="1" spans="1:22">
      <c r="A163" s="11" t="s">
        <v>363</v>
      </c>
      <c r="B163" s="11" t="s">
        <v>287</v>
      </c>
      <c r="C163" s="11" t="str">
        <f t="shared" si="15"/>
        <v>CEL </v>
      </c>
      <c r="D163" s="15" t="s">
        <v>43</v>
      </c>
      <c r="E163" s="15">
        <v>3</v>
      </c>
      <c r="F163" s="23" t="s">
        <v>288</v>
      </c>
      <c r="G163" s="15" t="s">
        <v>369</v>
      </c>
      <c r="H163" s="15" t="s">
        <v>277</v>
      </c>
      <c r="I163" s="15" t="s">
        <v>277</v>
      </c>
      <c r="J163" s="15" t="s">
        <v>334</v>
      </c>
      <c r="K163" s="15">
        <v>5001</v>
      </c>
      <c r="L163" s="15">
        <v>30000</v>
      </c>
      <c r="M163" s="15" t="s">
        <v>348</v>
      </c>
      <c r="N163" s="15" t="s">
        <v>349</v>
      </c>
      <c r="O163" s="15" t="s">
        <v>350</v>
      </c>
      <c r="P163" s="15" t="s">
        <v>351</v>
      </c>
      <c r="Q163" s="34" t="s">
        <v>335</v>
      </c>
      <c r="R163" s="15" t="s">
        <v>336</v>
      </c>
      <c r="S163" s="15">
        <v>250000</v>
      </c>
      <c r="T163" s="31" t="s">
        <v>271</v>
      </c>
      <c r="U163" s="33" t="s">
        <v>315</v>
      </c>
      <c r="V163" s="33" t="s">
        <v>315</v>
      </c>
    </row>
    <row r="164" ht="18" hidden="1" customHeight="1" spans="1:22">
      <c r="A164" s="11" t="s">
        <v>363</v>
      </c>
      <c r="B164" s="11" t="s">
        <v>287</v>
      </c>
      <c r="C164" s="11" t="str">
        <f t="shared" si="15"/>
        <v>ATC </v>
      </c>
      <c r="D164" s="15" t="s">
        <v>31</v>
      </c>
      <c r="E164" s="15">
        <v>8</v>
      </c>
      <c r="F164" s="23" t="s">
        <v>288</v>
      </c>
      <c r="G164" s="15" t="s">
        <v>370</v>
      </c>
      <c r="H164" s="15" t="s">
        <v>277</v>
      </c>
      <c r="I164" s="15" t="s">
        <v>264</v>
      </c>
      <c r="J164" s="15" t="s">
        <v>334</v>
      </c>
      <c r="K164" s="15">
        <v>5001</v>
      </c>
      <c r="L164" s="15">
        <v>30000</v>
      </c>
      <c r="M164" s="15" t="s">
        <v>348</v>
      </c>
      <c r="N164" s="15" t="s">
        <v>349</v>
      </c>
      <c r="O164" s="15" t="s">
        <v>350</v>
      </c>
      <c r="P164" s="15" t="s">
        <v>351</v>
      </c>
      <c r="Q164" s="34" t="s">
        <v>335</v>
      </c>
      <c r="R164" s="15" t="s">
        <v>336</v>
      </c>
      <c r="S164" s="15">
        <v>250000</v>
      </c>
      <c r="T164" s="31" t="s">
        <v>271</v>
      </c>
      <c r="U164" s="33" t="s">
        <v>315</v>
      </c>
      <c r="V164" s="33" t="s">
        <v>315</v>
      </c>
    </row>
  </sheetData>
  <autoFilter xmlns:etc="http://www.wps.cn/officeDocument/2017/etCustomData" ref="A5:V164" etc:filterBottomFollowUsedRange="0">
    <filterColumn colId="2">
      <filters>
        <filter val="ATC"/>
        <filter val="GBS"/>
        <filter val="RETS"/>
        <filter val="Tanais"/>
        <filter val="ABT"/>
        <filter val="переход"/>
        <filter val="OYX"/>
        <filter val="CEL"/>
        <filter val="Xingyuan"/>
        <filter val="ZTO"/>
        <filter val="GUOO"/>
      </filters>
    </filterColumn>
    <filterColumn colId="3">
      <filters>
        <filter val="RETS Standard Budget"/>
        <filter val="RETS Economy Budget"/>
        <filter val="RETS Standard Big"/>
        <filter val="RETS Economy Premium Big"/>
        <filter val="RETS Economy Premium Small"/>
        <filter val="RETS Standard Premium Small"/>
        <filter val="RETS Economy Extra Small"/>
        <filter val="RETS Express Premium Small"/>
        <filter val="RETS Economy Small"/>
        <filter val="RETS Standard Small"/>
        <filter val="RETS Express Extra Small"/>
        <filter val="RETS Standard Extra Small"/>
        <filter val="RETS Express Small"/>
      </filters>
    </filterColumn>
    <extLst/>
  </autoFilter>
  <sortState ref="A157:V164">
    <sortCondition ref="E157:E164"/>
  </sortState>
  <conditionalFormatting sqref="G6">
    <cfRule type="cellIs" dxfId="0" priority="89" operator="equal">
      <formula>"Error"</formula>
    </cfRule>
  </conditionalFormatting>
  <conditionalFormatting sqref="G7">
    <cfRule type="cellIs" dxfId="0" priority="102" operator="equal">
      <formula>"Error"</formula>
    </cfRule>
  </conditionalFormatting>
  <conditionalFormatting sqref="G9">
    <cfRule type="cellIs" dxfId="0" priority="116" operator="equal">
      <formula>"Error"</formula>
    </cfRule>
  </conditionalFormatting>
  <conditionalFormatting sqref="G10">
    <cfRule type="cellIs" dxfId="0" priority="129" operator="equal">
      <formula>"Error"</formula>
    </cfRule>
  </conditionalFormatting>
  <conditionalFormatting sqref="G11">
    <cfRule type="cellIs" dxfId="0" priority="138" operator="equal">
      <formula>"Error"</formula>
    </cfRule>
  </conditionalFormatting>
  <conditionalFormatting sqref="M11:P11">
    <cfRule type="cellIs" dxfId="0" priority="156" operator="equal">
      <formula>"Error"</formula>
    </cfRule>
  </conditionalFormatting>
  <conditionalFormatting sqref="G13">
    <cfRule type="cellIs" dxfId="0" priority="115" operator="equal">
      <formula>"Error"</formula>
    </cfRule>
  </conditionalFormatting>
  <conditionalFormatting sqref="G14">
    <cfRule type="cellIs" dxfId="0" priority="67" operator="equal">
      <formula>"Error"</formula>
    </cfRule>
  </conditionalFormatting>
  <conditionalFormatting sqref="G15">
    <cfRule type="cellIs" dxfId="0" priority="57" operator="equal">
      <formula>"Error"</formula>
    </cfRule>
  </conditionalFormatting>
  <conditionalFormatting sqref="I15">
    <cfRule type="cellIs" dxfId="0" priority="6" operator="equal">
      <formula>"Error"</formula>
    </cfRule>
  </conditionalFormatting>
  <conditionalFormatting sqref="G17">
    <cfRule type="cellIs" dxfId="0" priority="137" operator="equal">
      <formula>"Error"</formula>
    </cfRule>
  </conditionalFormatting>
  <conditionalFormatting sqref="G18">
    <cfRule type="cellIs" dxfId="0" priority="88" operator="equal">
      <formula>"Error"</formula>
    </cfRule>
  </conditionalFormatting>
  <conditionalFormatting sqref="G19">
    <cfRule type="cellIs" dxfId="0" priority="101" operator="equal">
      <formula>"Error"</formula>
    </cfRule>
  </conditionalFormatting>
  <conditionalFormatting sqref="G20">
    <cfRule type="cellIs" dxfId="0" priority="77" operator="equal">
      <formula>"Error"</formula>
    </cfRule>
  </conditionalFormatting>
  <conditionalFormatting sqref="G21">
    <cfRule type="cellIs" dxfId="0" priority="46" operator="equal">
      <formula>"Error"</formula>
    </cfRule>
  </conditionalFormatting>
  <conditionalFormatting sqref="G22">
    <cfRule type="cellIs" dxfId="0" priority="128" operator="equal">
      <formula>"Error"</formula>
    </cfRule>
  </conditionalFormatting>
  <conditionalFormatting sqref="G25">
    <cfRule type="cellIs" dxfId="0" priority="66" operator="equal">
      <formula>"Error"</formula>
    </cfRule>
  </conditionalFormatting>
  <conditionalFormatting sqref="G26">
    <cfRule type="cellIs" dxfId="0" priority="127" operator="equal">
      <formula>"Error"</formula>
    </cfRule>
  </conditionalFormatting>
  <conditionalFormatting sqref="G27">
    <cfRule type="cellIs" dxfId="0" priority="56" operator="equal">
      <formula>"Error"</formula>
    </cfRule>
  </conditionalFormatting>
  <conditionalFormatting sqref="G28">
    <cfRule type="cellIs" dxfId="0" priority="100" operator="equal">
      <formula>"Error"</formula>
    </cfRule>
  </conditionalFormatting>
  <conditionalFormatting sqref="G29">
    <cfRule type="cellIs" dxfId="0" priority="76" operator="equal">
      <formula>"Error"</formula>
    </cfRule>
  </conditionalFormatting>
  <conditionalFormatting sqref="G30">
    <cfRule type="cellIs" dxfId="0" priority="114" operator="equal">
      <formula>"Error"</formula>
    </cfRule>
  </conditionalFormatting>
  <conditionalFormatting sqref="G31">
    <cfRule type="cellIs" dxfId="0" priority="45" operator="equal">
      <formula>"Error"</formula>
    </cfRule>
  </conditionalFormatting>
  <conditionalFormatting sqref="G32">
    <cfRule type="cellIs" dxfId="0" priority="136" operator="equal">
      <formula>"Error"</formula>
    </cfRule>
  </conditionalFormatting>
  <conditionalFormatting sqref="G33">
    <cfRule type="cellIs" dxfId="0" priority="87" operator="equal">
      <formula>"Error"</formula>
    </cfRule>
  </conditionalFormatting>
  <conditionalFormatting sqref="I33">
    <cfRule type="cellIs" dxfId="0" priority="252" operator="equal">
      <formula>"Error"</formula>
    </cfRule>
  </conditionalFormatting>
  <conditionalFormatting sqref="G35">
    <cfRule type="cellIs" dxfId="0" priority="99" operator="equal">
      <formula>"Error"</formula>
    </cfRule>
  </conditionalFormatting>
  <conditionalFormatting sqref="G36">
    <cfRule type="cellIs" dxfId="0" priority="44" operator="equal">
      <formula>"Error"</formula>
    </cfRule>
  </conditionalFormatting>
  <conditionalFormatting sqref="G38">
    <cfRule type="cellIs" dxfId="0" priority="113" operator="equal">
      <formula>"Error"</formula>
    </cfRule>
  </conditionalFormatting>
  <conditionalFormatting sqref="G40">
    <cfRule type="cellIs" dxfId="0" priority="134" operator="equal">
      <formula>"Error"</formula>
    </cfRule>
  </conditionalFormatting>
  <conditionalFormatting sqref="G41">
    <cfRule type="cellIs" dxfId="0" priority="86" operator="equal">
      <formula>"Error"</formula>
    </cfRule>
  </conditionalFormatting>
  <conditionalFormatting sqref="G43">
    <cfRule type="cellIs" dxfId="0" priority="65" operator="equal">
      <formula>"Error"</formula>
    </cfRule>
  </conditionalFormatting>
  <conditionalFormatting sqref="G44">
    <cfRule type="cellIs" dxfId="0" priority="98" operator="equal">
      <formula>"Error"</formula>
    </cfRule>
  </conditionalFormatting>
  <conditionalFormatting sqref="G45">
    <cfRule type="cellIs" dxfId="0" priority="55" operator="equal">
      <formula>"Error"</formula>
    </cfRule>
  </conditionalFormatting>
  <conditionalFormatting sqref="G47">
    <cfRule type="cellIs" dxfId="0" priority="112" operator="equal">
      <formula>"Error"</formula>
    </cfRule>
  </conditionalFormatting>
  <conditionalFormatting sqref="G48">
    <cfRule type="cellIs" dxfId="0" priority="75" operator="equal">
      <formula>"Error"</formula>
    </cfRule>
  </conditionalFormatting>
  <conditionalFormatting sqref="G49">
    <cfRule type="cellIs" dxfId="0" priority="43" operator="equal">
      <formula>"Error"</formula>
    </cfRule>
  </conditionalFormatting>
  <conditionalFormatting sqref="I49">
    <cfRule type="cellIs" dxfId="0" priority="5" operator="equal">
      <formula>"Error"</formula>
    </cfRule>
  </conditionalFormatting>
  <conditionalFormatting sqref="G50">
    <cfRule type="cellIs" dxfId="0" priority="126" operator="equal">
      <formula>"Error"</formula>
    </cfRule>
  </conditionalFormatting>
  <conditionalFormatting sqref="H50">
    <cfRule type="cellIs" dxfId="0" priority="240" operator="equal">
      <formula>"Error"</formula>
    </cfRule>
  </conditionalFormatting>
  <conditionalFormatting sqref="G53">
    <cfRule type="cellIs" dxfId="0" priority="74" operator="equal">
      <formula>"Error"</formula>
    </cfRule>
  </conditionalFormatting>
  <conditionalFormatting sqref="G54">
    <cfRule type="cellIs" dxfId="0" priority="54" operator="equal">
      <formula>"Error"</formula>
    </cfRule>
  </conditionalFormatting>
  <conditionalFormatting sqref="G55">
    <cfRule type="cellIs" dxfId="0" priority="64" operator="equal">
      <formula>"Error"</formula>
    </cfRule>
  </conditionalFormatting>
  <conditionalFormatting sqref="G56">
    <cfRule type="cellIs" dxfId="0" priority="97" operator="equal">
      <formula>"Error"</formula>
    </cfRule>
  </conditionalFormatting>
  <conditionalFormatting sqref="G58">
    <cfRule type="cellIs" dxfId="0" priority="85" operator="equal">
      <formula>"Error"</formula>
    </cfRule>
  </conditionalFormatting>
  <conditionalFormatting sqref="G59">
    <cfRule type="cellIs" dxfId="0" priority="42" operator="equal">
      <formula>"Error"</formula>
    </cfRule>
  </conditionalFormatting>
  <conditionalFormatting sqref="G60">
    <cfRule type="cellIs" dxfId="0" priority="125" operator="equal">
      <formula>"Error"</formula>
    </cfRule>
  </conditionalFormatting>
  <conditionalFormatting sqref="G61">
    <cfRule type="cellIs" dxfId="0" priority="133" operator="equal">
      <formula>"Error"</formula>
    </cfRule>
  </conditionalFormatting>
  <conditionalFormatting sqref="G63">
    <cfRule type="cellIs" dxfId="0" priority="96" operator="equal">
      <formula>"Error"</formula>
    </cfRule>
  </conditionalFormatting>
  <conditionalFormatting sqref="M63:P63">
    <cfRule type="cellIs" dxfId="0" priority="210" operator="equal">
      <formula>"Error"</formula>
    </cfRule>
  </conditionalFormatting>
  <conditionalFormatting sqref="G64">
    <cfRule type="cellIs" dxfId="0" priority="84" operator="equal">
      <formula>"Error"</formula>
    </cfRule>
  </conditionalFormatting>
  <conditionalFormatting sqref="M64:P64">
    <cfRule type="cellIs" dxfId="0" priority="209" operator="equal">
      <formula>"Error"</formula>
    </cfRule>
  </conditionalFormatting>
  <conditionalFormatting sqref="G65">
    <cfRule type="cellIs" dxfId="0" priority="111" operator="equal">
      <formula>"Error"</formula>
    </cfRule>
  </conditionalFormatting>
  <conditionalFormatting sqref="M65:P65">
    <cfRule type="cellIs" dxfId="0" priority="208" operator="equal">
      <formula>"Error"</formula>
    </cfRule>
  </conditionalFormatting>
  <conditionalFormatting sqref="M66:P66">
    <cfRule type="cellIs" dxfId="0" priority="206" operator="equal">
      <formula>"Error"</formula>
    </cfRule>
  </conditionalFormatting>
  <conditionalFormatting sqref="M67:P67">
    <cfRule type="cellIs" dxfId="0" priority="204" operator="equal">
      <formula>"Error"</formula>
    </cfRule>
  </conditionalFormatting>
  <conditionalFormatting sqref="G68">
    <cfRule type="cellIs" dxfId="0" priority="124" operator="equal">
      <formula>"Error"</formula>
    </cfRule>
  </conditionalFormatting>
  <conditionalFormatting sqref="M68:P68">
    <cfRule type="cellIs" dxfId="0" priority="203" operator="equal">
      <formula>"Error"</formula>
    </cfRule>
  </conditionalFormatting>
  <conditionalFormatting sqref="G69">
    <cfRule type="cellIs" dxfId="0" priority="132" operator="equal">
      <formula>"Error"</formula>
    </cfRule>
  </conditionalFormatting>
  <conditionalFormatting sqref="I69">
    <cfRule type="cellIs" dxfId="0" priority="10" operator="equal">
      <formula>"Error"</formula>
    </cfRule>
  </conditionalFormatting>
  <conditionalFormatting sqref="M69:P69">
    <cfRule type="cellIs" dxfId="0" priority="154" operator="equal">
      <formula>"Error"</formula>
    </cfRule>
  </conditionalFormatting>
  <conditionalFormatting sqref="M71:P71">
    <cfRule type="cellIs" dxfId="0" priority="202" operator="equal">
      <formula>"Error"</formula>
    </cfRule>
  </conditionalFormatting>
  <conditionalFormatting sqref="G72">
    <cfRule type="cellIs" dxfId="0" priority="83" operator="equal">
      <formula>"Error"</formula>
    </cfRule>
  </conditionalFormatting>
  <conditionalFormatting sqref="M72:P72">
    <cfRule type="cellIs" dxfId="0" priority="201" operator="equal">
      <formula>"Error"</formula>
    </cfRule>
  </conditionalFormatting>
  <conditionalFormatting sqref="G73">
    <cfRule type="cellIs" dxfId="0" priority="131" operator="equal">
      <formula>"Error"</formula>
    </cfRule>
  </conditionalFormatting>
  <conditionalFormatting sqref="M73:P73">
    <cfRule type="cellIs" dxfId="0" priority="200" operator="equal">
      <formula>"Error"</formula>
    </cfRule>
  </conditionalFormatting>
  <conditionalFormatting sqref="M74:P74">
    <cfRule type="cellIs" dxfId="0" priority="199" operator="equal">
      <formula>"Error"</formula>
    </cfRule>
  </conditionalFormatting>
  <conditionalFormatting sqref="G75">
    <cfRule type="cellIs" dxfId="0" priority="95" operator="equal">
      <formula>"Error"</formula>
    </cfRule>
  </conditionalFormatting>
  <conditionalFormatting sqref="M75:P75">
    <cfRule type="cellIs" dxfId="0" priority="198" operator="equal">
      <formula>"Error"</formula>
    </cfRule>
  </conditionalFormatting>
  <conditionalFormatting sqref="G76">
    <cfRule type="cellIs" dxfId="0" priority="63" operator="equal">
      <formula>"Error"</formula>
    </cfRule>
  </conditionalFormatting>
  <conditionalFormatting sqref="M76:P76">
    <cfRule type="cellIs" dxfId="0" priority="196" operator="equal">
      <formula>"Error"</formula>
    </cfRule>
  </conditionalFormatting>
  <conditionalFormatting sqref="G77">
    <cfRule type="cellIs" dxfId="0" priority="53" operator="equal">
      <formula>"Error"</formula>
    </cfRule>
  </conditionalFormatting>
  <conditionalFormatting sqref="M77:P77">
    <cfRule type="cellIs" dxfId="0" priority="195" operator="equal">
      <formula>"Error"</formula>
    </cfRule>
  </conditionalFormatting>
  <conditionalFormatting sqref="G78">
    <cfRule type="cellIs" dxfId="0" priority="110" operator="equal">
      <formula>"Error"</formula>
    </cfRule>
  </conditionalFormatting>
  <conditionalFormatting sqref="M78:P78">
    <cfRule type="cellIs" dxfId="0" priority="194" operator="equal">
      <formula>"Error"</formula>
    </cfRule>
  </conditionalFormatting>
  <conditionalFormatting sqref="G79">
    <cfRule type="cellIs" dxfId="0" priority="73" operator="equal">
      <formula>"Error"</formula>
    </cfRule>
  </conditionalFormatting>
  <conditionalFormatting sqref="M79:P79">
    <cfRule type="cellIs" dxfId="0" priority="190" operator="equal">
      <formula>"Error"</formula>
    </cfRule>
  </conditionalFormatting>
  <conditionalFormatting sqref="G80">
    <cfRule type="cellIs" dxfId="0" priority="40" operator="equal">
      <formula>"Error"</formula>
    </cfRule>
  </conditionalFormatting>
  <conditionalFormatting sqref="I80">
    <cfRule type="cellIs" dxfId="0" priority="4" operator="equal">
      <formula>"Error"</formula>
    </cfRule>
  </conditionalFormatting>
  <conditionalFormatting sqref="M80:P80">
    <cfRule type="cellIs" dxfId="0" priority="214" operator="equal">
      <formula>"Error"</formula>
    </cfRule>
  </conditionalFormatting>
  <conditionalFormatting sqref="G81">
    <cfRule type="cellIs" dxfId="0" priority="123" operator="equal">
      <formula>"Error"</formula>
    </cfRule>
  </conditionalFormatting>
  <conditionalFormatting sqref="M81:P81">
    <cfRule type="cellIs" dxfId="0" priority="189" operator="equal">
      <formula>"Error"</formula>
    </cfRule>
  </conditionalFormatting>
  <conditionalFormatting sqref="M83:P83">
    <cfRule type="cellIs" dxfId="0" priority="188" operator="equal">
      <formula>"Error"</formula>
    </cfRule>
  </conditionalFormatting>
  <conditionalFormatting sqref="G84">
    <cfRule type="cellIs" dxfId="0" priority="62" operator="equal">
      <formula>"Error"</formula>
    </cfRule>
  </conditionalFormatting>
  <conditionalFormatting sqref="M84:P84">
    <cfRule type="cellIs" dxfId="0" priority="187" operator="equal">
      <formula>"Error"</formula>
    </cfRule>
  </conditionalFormatting>
  <conditionalFormatting sqref="M85:P85">
    <cfRule type="cellIs" dxfId="0" priority="186" operator="equal">
      <formula>"Error"</formula>
    </cfRule>
  </conditionalFormatting>
  <conditionalFormatting sqref="G86">
    <cfRule type="cellIs" dxfId="0" priority="52" operator="equal">
      <formula>"Error"</formula>
    </cfRule>
  </conditionalFormatting>
  <conditionalFormatting sqref="M86:P86">
    <cfRule type="cellIs" dxfId="0" priority="185" operator="equal">
      <formula>"Error"</formula>
    </cfRule>
  </conditionalFormatting>
  <conditionalFormatting sqref="G87">
    <cfRule type="cellIs" dxfId="0" priority="130" operator="equal">
      <formula>"Error"</formula>
    </cfRule>
  </conditionalFormatting>
  <conditionalFormatting sqref="M87:P87">
    <cfRule type="cellIs" dxfId="0" priority="184" operator="equal">
      <formula>"Error"</formula>
    </cfRule>
  </conditionalFormatting>
  <conditionalFormatting sqref="G88">
    <cfRule type="cellIs" dxfId="0" priority="94" operator="equal">
      <formula>"Error"</formula>
    </cfRule>
  </conditionalFormatting>
  <conditionalFormatting sqref="M88:P88">
    <cfRule type="cellIs" dxfId="0" priority="183" operator="equal">
      <formula>"Error"</formula>
    </cfRule>
  </conditionalFormatting>
  <conditionalFormatting sqref="G89">
    <cfRule type="cellIs" dxfId="0" priority="72" operator="equal">
      <formula>"Error"</formula>
    </cfRule>
  </conditionalFormatting>
  <conditionalFormatting sqref="M89:P89">
    <cfRule type="cellIs" dxfId="0" priority="182" operator="equal">
      <formula>"Error"</formula>
    </cfRule>
  </conditionalFormatting>
  <conditionalFormatting sqref="G90">
    <cfRule type="cellIs" dxfId="0" priority="109" operator="equal">
      <formula>"Error"</formula>
    </cfRule>
  </conditionalFormatting>
  <conditionalFormatting sqref="M90:P90">
    <cfRule type="cellIs" dxfId="0" priority="181" operator="equal">
      <formula>"Error"</formula>
    </cfRule>
  </conditionalFormatting>
  <conditionalFormatting sqref="G91">
    <cfRule type="cellIs" dxfId="0" priority="82" operator="equal">
      <formula>"Error"</formula>
    </cfRule>
  </conditionalFormatting>
  <conditionalFormatting sqref="M91:P91">
    <cfRule type="cellIs" dxfId="0" priority="177" operator="equal">
      <formula>"Error"</formula>
    </cfRule>
  </conditionalFormatting>
  <conditionalFormatting sqref="G92">
    <cfRule type="cellIs" dxfId="0" priority="39" operator="equal">
      <formula>"Error"</formula>
    </cfRule>
  </conditionalFormatting>
  <conditionalFormatting sqref="M92:P92">
    <cfRule type="cellIs" dxfId="0" priority="176" operator="equal">
      <formula>"Error"</formula>
    </cfRule>
  </conditionalFormatting>
  <conditionalFormatting sqref="G93">
    <cfRule type="cellIs" dxfId="0" priority="122" operator="equal">
      <formula>"Error"</formula>
    </cfRule>
  </conditionalFormatting>
  <conditionalFormatting sqref="M93:P93">
    <cfRule type="cellIs" dxfId="0" priority="213" operator="equal">
      <formula>"Error"</formula>
    </cfRule>
  </conditionalFormatting>
  <conditionalFormatting sqref="G95">
    <cfRule type="cellIs" dxfId="0" priority="139" operator="equal">
      <formula>"Error"</formula>
    </cfRule>
  </conditionalFormatting>
  <conditionalFormatting sqref="I95">
    <cfRule type="cellIs" dxfId="0" priority="8" operator="equal">
      <formula>"Error"</formula>
    </cfRule>
  </conditionalFormatting>
  <conditionalFormatting sqref="J95">
    <cfRule type="cellIs" dxfId="0" priority="19" operator="equal">
      <formula>"Error"</formula>
    </cfRule>
  </conditionalFormatting>
  <conditionalFormatting sqref="M95:P95">
    <cfRule type="cellIs" dxfId="0" priority="148" operator="equal">
      <formula>"Error"</formula>
    </cfRule>
  </conditionalFormatting>
  <conditionalFormatting sqref="G97">
    <cfRule type="cellIs" dxfId="0" priority="93" operator="equal">
      <formula>"Error"</formula>
    </cfRule>
  </conditionalFormatting>
  <conditionalFormatting sqref="M97:P97">
    <cfRule type="cellIs" dxfId="0" priority="173" operator="equal">
      <formula>"Error"</formula>
    </cfRule>
  </conditionalFormatting>
  <conditionalFormatting sqref="G98">
    <cfRule type="cellIs" dxfId="0" priority="81" operator="equal">
      <formula>"Error"</formula>
    </cfRule>
  </conditionalFormatting>
  <conditionalFormatting sqref="M98:P98">
    <cfRule type="cellIs" dxfId="0" priority="172" operator="equal">
      <formula>"Error"</formula>
    </cfRule>
  </conditionalFormatting>
  <conditionalFormatting sqref="M99:P99">
    <cfRule type="cellIs" dxfId="0" priority="171" operator="equal">
      <formula>"Error"</formula>
    </cfRule>
  </conditionalFormatting>
  <conditionalFormatting sqref="G100">
    <cfRule type="cellIs" dxfId="0" priority="107" operator="equal">
      <formula>"Error"</formula>
    </cfRule>
  </conditionalFormatting>
  <conditionalFormatting sqref="M100:P100">
    <cfRule type="cellIs" dxfId="0" priority="170" operator="equal">
      <formula>"Error"</formula>
    </cfRule>
  </conditionalFormatting>
  <conditionalFormatting sqref="G101">
    <cfRule type="cellIs" dxfId="0" priority="61" operator="equal">
      <formula>"Error"</formula>
    </cfRule>
  </conditionalFormatting>
  <conditionalFormatting sqref="M101:P101">
    <cfRule type="cellIs" dxfId="0" priority="168" operator="equal">
      <formula>"Error"</formula>
    </cfRule>
  </conditionalFormatting>
  <conditionalFormatting sqref="G102">
    <cfRule type="cellIs" dxfId="0" priority="51" operator="equal">
      <formula>"Error"</formula>
    </cfRule>
  </conditionalFormatting>
  <conditionalFormatting sqref="M102:P102">
    <cfRule type="cellIs" dxfId="0" priority="167" operator="equal">
      <formula>"Error"</formula>
    </cfRule>
  </conditionalFormatting>
  <conditionalFormatting sqref="G103">
    <cfRule type="cellIs" dxfId="0" priority="38" operator="equal">
      <formula>"Error"</formula>
    </cfRule>
  </conditionalFormatting>
  <conditionalFormatting sqref="M103:P103">
    <cfRule type="cellIs" dxfId="0" priority="166" operator="equal">
      <formula>"Error"</formula>
    </cfRule>
  </conditionalFormatting>
  <conditionalFormatting sqref="G104">
    <cfRule type="cellIs" dxfId="0" priority="71" operator="equal">
      <formula>"Error"</formula>
    </cfRule>
  </conditionalFormatting>
  <conditionalFormatting sqref="M104:P104">
    <cfRule type="cellIs" dxfId="0" priority="212" operator="equal">
      <formula>"Error"</formula>
    </cfRule>
  </conditionalFormatting>
  <conditionalFormatting sqref="G105">
    <cfRule type="cellIs" dxfId="0" priority="121" operator="equal">
      <formula>"Error"</formula>
    </cfRule>
  </conditionalFormatting>
  <conditionalFormatting sqref="M105:P105">
    <cfRule type="cellIs" dxfId="0" priority="165" operator="equal">
      <formula>"Error"</formula>
    </cfRule>
  </conditionalFormatting>
  <conditionalFormatting sqref="G106">
    <cfRule type="cellIs" dxfId="0" priority="140" operator="equal">
      <formula>"Error"</formula>
    </cfRule>
  </conditionalFormatting>
  <conditionalFormatting sqref="I106">
    <cfRule type="cellIs" dxfId="0" priority="3" operator="equal">
      <formula>"Error"</formula>
    </cfRule>
  </conditionalFormatting>
  <conditionalFormatting sqref="M106:P106">
    <cfRule type="cellIs" dxfId="0" priority="146" operator="equal">
      <formula>"Error"</formula>
    </cfRule>
  </conditionalFormatting>
  <conditionalFormatting sqref="G108">
    <cfRule type="cellIs" dxfId="0" priority="37" operator="equal">
      <formula>"Error"</formula>
    </cfRule>
  </conditionalFormatting>
  <conditionalFormatting sqref="M108:P108">
    <cfRule type="cellIs" dxfId="0" priority="164" operator="equal">
      <formula>"Error"</formula>
    </cfRule>
  </conditionalFormatting>
  <conditionalFormatting sqref="G109">
    <cfRule type="cellIs" dxfId="0" priority="120" operator="equal">
      <formula>"Error"</formula>
    </cfRule>
  </conditionalFormatting>
  <conditionalFormatting sqref="M109:P109">
    <cfRule type="cellIs" dxfId="0" priority="211" operator="equal">
      <formula>"Error"</formula>
    </cfRule>
  </conditionalFormatting>
  <conditionalFormatting sqref="M110:P110">
    <cfRule type="cellIs" dxfId="0" priority="163" operator="equal">
      <formula>"Error"</formula>
    </cfRule>
  </conditionalFormatting>
  <conditionalFormatting sqref="G111">
    <cfRule type="cellIs" dxfId="0" priority="70" operator="equal">
      <formula>"Error"</formula>
    </cfRule>
  </conditionalFormatting>
  <conditionalFormatting sqref="M111:P111">
    <cfRule type="cellIs" dxfId="0" priority="161" operator="equal">
      <formula>"Error"</formula>
    </cfRule>
  </conditionalFormatting>
  <conditionalFormatting sqref="G112">
    <cfRule type="cellIs" dxfId="0" priority="50" operator="equal">
      <formula>"Error"</formula>
    </cfRule>
  </conditionalFormatting>
  <conditionalFormatting sqref="M112:P112">
    <cfRule type="cellIs" dxfId="0" priority="160" operator="equal">
      <formula>"Error"</formula>
    </cfRule>
  </conditionalFormatting>
  <conditionalFormatting sqref="G113">
    <cfRule type="cellIs" dxfId="0" priority="60" operator="equal">
      <formula>"Error"</formula>
    </cfRule>
  </conditionalFormatting>
  <conditionalFormatting sqref="M113:P113">
    <cfRule type="cellIs" dxfId="0" priority="159" operator="equal">
      <formula>"Error"</formula>
    </cfRule>
  </conditionalFormatting>
  <conditionalFormatting sqref="G114">
    <cfRule type="cellIs" dxfId="0" priority="141" operator="equal">
      <formula>"Error"</formula>
    </cfRule>
  </conditionalFormatting>
  <conditionalFormatting sqref="I114">
    <cfRule type="cellIs" dxfId="0" priority="7" operator="equal">
      <formula>"Error"</formula>
    </cfRule>
  </conditionalFormatting>
  <conditionalFormatting sqref="M114:P114">
    <cfRule type="cellIs" dxfId="0" priority="142" operator="equal">
      <formula>"Error"</formula>
    </cfRule>
  </conditionalFormatting>
  <conditionalFormatting sqref="Q114:R114">
    <cfRule type="cellIs" dxfId="0" priority="145" operator="equal">
      <formula>"Error"</formula>
    </cfRule>
  </conditionalFormatting>
  <conditionalFormatting sqref="G116">
    <cfRule type="cellIs" dxfId="0" priority="92" operator="equal">
      <formula>"Error"</formula>
    </cfRule>
  </conditionalFormatting>
  <conditionalFormatting sqref="G117">
    <cfRule type="cellIs" dxfId="0" priority="80" operator="equal">
      <formula>"Error"</formula>
    </cfRule>
  </conditionalFormatting>
  <conditionalFormatting sqref="G118">
    <cfRule type="cellIs" dxfId="0" priority="106" operator="equal">
      <formula>"Error"</formula>
    </cfRule>
  </conditionalFormatting>
  <conditionalFormatting sqref="G119">
    <cfRule type="cellIs" dxfId="0" priority="119" operator="equal">
      <formula>"Error"</formula>
    </cfRule>
  </conditionalFormatting>
  <conditionalFormatting sqref="G121:H121">
    <cfRule type="cellIs" dxfId="0" priority="229" operator="equal">
      <formula>"Error"</formula>
    </cfRule>
  </conditionalFormatting>
  <conditionalFormatting sqref="G122">
    <cfRule type="cellIs" dxfId="0" priority="36" operator="equal">
      <formula>"Error"</formula>
    </cfRule>
  </conditionalFormatting>
  <conditionalFormatting sqref="H122">
    <cfRule type="cellIs" dxfId="0" priority="151" operator="equal">
      <formula>"Error"</formula>
    </cfRule>
  </conditionalFormatting>
  <conditionalFormatting sqref="I122">
    <cfRule type="cellIs" dxfId="0" priority="9" operator="equal">
      <formula>"Error"</formula>
    </cfRule>
  </conditionalFormatting>
  <conditionalFormatting sqref="J122">
    <cfRule type="cellIs" dxfId="0" priority="153" operator="equal">
      <formula>"Error"</formula>
    </cfRule>
  </conditionalFormatting>
  <conditionalFormatting sqref="M122:P122">
    <cfRule type="cellIs" dxfId="0" priority="152" operator="equal">
      <formula>"Error"</formula>
    </cfRule>
  </conditionalFormatting>
  <conditionalFormatting sqref="G125">
    <cfRule type="cellIs" dxfId="0" priority="79" operator="equal">
      <formula>"Error"</formula>
    </cfRule>
  </conditionalFormatting>
  <conditionalFormatting sqref="G126">
    <cfRule type="cellIs" dxfId="0" priority="91" operator="equal">
      <formula>"Error"</formula>
    </cfRule>
  </conditionalFormatting>
  <conditionalFormatting sqref="G128">
    <cfRule type="cellIs" dxfId="0" priority="105" operator="equal">
      <formula>"Error"</formula>
    </cfRule>
  </conditionalFormatting>
  <conditionalFormatting sqref="G129">
    <cfRule type="cellIs" dxfId="0" priority="59" operator="equal">
      <formula>"Error"</formula>
    </cfRule>
  </conditionalFormatting>
  <conditionalFormatting sqref="G130">
    <cfRule type="cellIs" dxfId="0" priority="49" operator="equal">
      <formula>"Error"</formula>
    </cfRule>
  </conditionalFormatting>
  <conditionalFormatting sqref="G131">
    <cfRule type="cellIs" dxfId="0" priority="69" operator="equal">
      <formula>"Error"</formula>
    </cfRule>
  </conditionalFormatting>
  <conditionalFormatting sqref="G132">
    <cfRule type="cellIs" dxfId="0" priority="35" operator="equal">
      <formula>"Error"</formula>
    </cfRule>
  </conditionalFormatting>
  <conditionalFormatting sqref="G133">
    <cfRule type="cellIs" dxfId="0" priority="118" operator="equal">
      <formula>"Error"</formula>
    </cfRule>
  </conditionalFormatting>
  <conditionalFormatting sqref="I133">
    <cfRule type="cellIs" dxfId="0" priority="2" operator="equal">
      <formula>"Error"</formula>
    </cfRule>
  </conditionalFormatting>
  <conditionalFormatting sqref="G136">
    <cfRule type="cellIs" dxfId="0" priority="58" operator="equal">
      <formula>"Error"</formula>
    </cfRule>
  </conditionalFormatting>
  <conditionalFormatting sqref="G137">
    <cfRule type="cellIs" dxfId="0" priority="48" operator="equal">
      <formula>"Error"</formula>
    </cfRule>
  </conditionalFormatting>
  <conditionalFormatting sqref="G138">
    <cfRule type="cellIs" dxfId="0" priority="90" operator="equal">
      <formula>"Error"</formula>
    </cfRule>
  </conditionalFormatting>
  <conditionalFormatting sqref="G140">
    <cfRule type="cellIs" dxfId="0" priority="104" operator="equal">
      <formula>"Error"</formula>
    </cfRule>
  </conditionalFormatting>
  <conditionalFormatting sqref="G141">
    <cfRule type="cellIs" dxfId="0" priority="68" operator="equal">
      <formula>"Error"</formula>
    </cfRule>
  </conditionalFormatting>
  <conditionalFormatting sqref="G142">
    <cfRule type="cellIs" dxfId="0" priority="34" operator="equal">
      <formula>"Error"</formula>
    </cfRule>
  </conditionalFormatting>
  <conditionalFormatting sqref="G143">
    <cfRule type="cellIs" dxfId="0" priority="78" operator="equal">
      <formula>"Error"</formula>
    </cfRule>
  </conditionalFormatting>
  <conditionalFormatting sqref="G144">
    <cfRule type="cellIs" dxfId="0" priority="117" operator="equal">
      <formula>"Error"</formula>
    </cfRule>
  </conditionalFormatting>
  <conditionalFormatting sqref="G146">
    <cfRule type="cellIs" dxfId="0" priority="103" operator="equal">
      <formula>"Error"</formula>
    </cfRule>
  </conditionalFormatting>
  <conditionalFormatting sqref="I155">
    <cfRule type="cellIs" dxfId="0" priority="1" operator="equal">
      <formula>"Error"</formula>
    </cfRule>
  </conditionalFormatting>
  <conditionalFormatting sqref="H112:H113">
    <cfRule type="cellIs" dxfId="0" priority="231" operator="equal">
      <formula>"Error"</formula>
    </cfRule>
  </conditionalFormatting>
  <conditionalFormatting sqref="I25:I26">
    <cfRule type="cellIs" dxfId="0" priority="251" operator="equal">
      <formula>"Error"</formula>
    </cfRule>
  </conditionalFormatting>
  <conditionalFormatting sqref="I116:I120">
    <cfRule type="cellIs" dxfId="0" priority="14" operator="equal">
      <formula>"Error"</formula>
    </cfRule>
  </conditionalFormatting>
  <conditionalFormatting sqref="J97:J106">
    <cfRule type="cellIs" dxfId="0" priority="18" operator="equal">
      <formula>"Error"</formula>
    </cfRule>
  </conditionalFormatting>
  <conditionalFormatting sqref="J108:J114">
    <cfRule type="cellIs" dxfId="0" priority="17" operator="equal">
      <formula>"Error"</formula>
    </cfRule>
  </conditionalFormatting>
  <conditionalFormatting sqref="H68 J148:J155 M148:R155 H146 M146:R146 Q108:R113 G99:H99 Q97:R105 G83:H83 G71:H71 G52:H52 M52:P61 G42:H42 M40:P50 J24:J33 M24:P33 J13:J22 M13:P22 M116:P121 J121 G124:H124 M124:P133 G135:H135 M135:P144 G74:H74 H30:H33 H47:H48 G66:H67 G8:H8 H6:H7 G46:H46 G57:H57 H63:H65 G127:H127 G139:H139 J157:J164 M157:R164 H41 H58:H61 H72 H97:H98 H125:H126 H19:H22 H140:H144 H53:H56 G85:H85 H84 H136:H138 H43:H45 H86:H93 H100:H105 J6:J11 M6:P10 H9:H11 J35:J38 M35:P38 J63:J68 J40:J50 H75:H81 H128:H133 J135:J144 J124:J133 J52:J61 J71:J81 J83:J93 J146">
    <cfRule type="cellIs" dxfId="0" priority="237" operator="equal">
      <formula>"Error"</formula>
    </cfRule>
  </conditionalFormatting>
  <conditionalFormatting sqref="H13 G16:H16 H15">
    <cfRule type="cellIs" dxfId="0" priority="247" operator="equal">
      <formula>"Error"</formula>
    </cfRule>
  </conditionalFormatting>
  <conditionalFormatting sqref="G24:H24 H27:H28 H25">
    <cfRule type="cellIs" dxfId="0" priority="245" operator="equal">
      <formula>"Error"</formula>
    </cfRule>
  </conditionalFormatting>
  <conditionalFormatting sqref="I146 I40:I48 I121 I30:I31 I52:I61 I71:I79 I124:I132 I135:I144 I83:I93 I97:I105 I63:I68 I50 I81 I157:I161">
    <cfRule type="cellIs" dxfId="0" priority="16" operator="equal">
      <formula>"Error"</formula>
    </cfRule>
  </conditionalFormatting>
  <conditionalFormatting sqref="G37:H37 H38 H35:H36">
    <cfRule type="cellIs" dxfId="0" priority="250" operator="equal">
      <formula>"Error"</formula>
    </cfRule>
  </conditionalFormatting>
  <conditionalFormatting sqref="H69 J69">
    <cfRule type="cellIs" dxfId="0" priority="155" operator="equal">
      <formula>"Error"</formula>
    </cfRule>
  </conditionalFormatting>
  <conditionalFormatting sqref="H95 Q95:R95">
    <cfRule type="cellIs" dxfId="0" priority="149" operator="equal">
      <formula>"Error"</formula>
    </cfRule>
  </conditionalFormatting>
  <conditionalFormatting sqref="Q106:R106 H106">
    <cfRule type="cellIs" dxfId="0" priority="147" operator="equal">
      <formula>"Error"</formula>
    </cfRule>
  </conditionalFormatting>
  <conditionalFormatting sqref="G110:H110 H108:H109">
    <cfRule type="cellIs" dxfId="0" priority="230" operator="equal">
      <formula>"Error"</formula>
    </cfRule>
  </conditionalFormatting>
  <conditionalFormatting sqref="I113 I108:I110">
    <cfRule type="cellIs" dxfId="0" priority="15" operator="equal">
      <formula>"Error"</formula>
    </cfRule>
  </conditionalFormatting>
  <conditionalFormatting sqref="G120:H120 H116:H119 J116:J120">
    <cfRule type="cellIs" dxfId="0" priority="227" operator="equal">
      <formula>"Error"</formula>
    </cfRule>
  </conditionalFormatting>
  <conditionalFormatting sqref="I148:I150 I152:I154">
    <cfRule type="cellIs" dxfId="0" priority="11" operator="equal">
      <formula>"Error"</formula>
    </cfRule>
  </conditionalFormatting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U215"/>
  <sheetViews>
    <sheetView zoomScale="90" zoomScaleNormal="90" workbookViewId="0">
      <selection activeCell="V33" sqref="V33"/>
    </sheetView>
  </sheetViews>
  <sheetFormatPr defaultColWidth="9.0859375" defaultRowHeight="12"/>
  <cols>
    <col min="1" max="1" width="4.0859375" style="1" customWidth="1"/>
    <col min="2" max="2" width="29.0859375" style="1" customWidth="1"/>
    <col min="3" max="3" width="10.5859375" style="2" customWidth="1"/>
    <col min="4" max="4" width="14.0859375" style="1" customWidth="1"/>
    <col min="5" max="6" width="14.5" style="1" customWidth="1"/>
    <col min="7" max="11" width="9.0859375" style="1"/>
    <col min="12" max="12" width="5.8359375" style="1" customWidth="1"/>
    <col min="13" max="14" width="9.0859375" style="1"/>
    <col min="15" max="15" width="10.5859375" style="1" customWidth="1"/>
    <col min="16" max="17" width="9.0859375" style="1"/>
    <col min="18" max="19" width="6.5" style="1" customWidth="1"/>
    <col min="20" max="20" width="8.5859375" style="1" customWidth="1"/>
    <col min="21" max="21" width="9.0859375" style="1"/>
    <col min="22" max="22" width="16.5859375" style="1" customWidth="1"/>
    <col min="23" max="16384" width="9.0859375" style="1"/>
  </cols>
  <sheetData>
    <row r="2" ht="36" spans="1:21">
      <c r="A2" s="1" t="s">
        <v>371</v>
      </c>
      <c r="B2" s="1" t="s">
        <v>372</v>
      </c>
      <c r="C2" s="2" t="s">
        <v>373</v>
      </c>
      <c r="D2" s="3" t="s">
        <v>374</v>
      </c>
      <c r="E2" s="1" t="s">
        <v>375</v>
      </c>
      <c r="F2" s="1" t="s">
        <v>376</v>
      </c>
      <c r="G2" s="1" t="s">
        <v>377</v>
      </c>
      <c r="P2" s="1" t="s">
        <v>378</v>
      </c>
      <c r="Q2" s="1" t="s">
        <v>379</v>
      </c>
      <c r="R2" s="1" t="s">
        <v>380</v>
      </c>
      <c r="S2" s="1" t="s">
        <v>381</v>
      </c>
      <c r="T2" s="1" t="s">
        <v>382</v>
      </c>
      <c r="U2" s="1" t="s">
        <v>377</v>
      </c>
    </row>
    <row r="3" spans="2:21">
      <c r="B3" s="1" t="str">
        <f t="shared" ref="B3:B14" si="0">M3&amp;" "&amp;N3&amp;" "&amp;O3</f>
        <v>RETS Express Extra Small</v>
      </c>
      <c r="C3" s="2">
        <f t="shared" ref="C3:C11" si="1">L3</f>
        <v>1</v>
      </c>
      <c r="D3" s="1" t="str">
        <f t="shared" ref="D3:D14" si="2">T3-5&amp;"-"&amp;T3</f>
        <v>3-8</v>
      </c>
      <c r="E3" s="1" t="str">
        <f t="shared" ref="E3:E14" si="3">IF(R3="CNY","¥"&amp;P3&amp;" + ¥"&amp;Q3/1000&amp;"/1 г",IF(R3="USD","$"&amp;P3&amp;" + $"&amp;Q3/1000&amp;"/1 г","Error"))</f>
        <v>¥2,75 + ¥0,0385/1 г</v>
      </c>
      <c r="F3" s="1" t="s">
        <v>270</v>
      </c>
      <c r="G3" s="1" t="str">
        <f t="shared" ref="G3:G14" si="4">IF(OR(U3="Разрешено",U3="允许"),"Разрешено",IF(OR(U3="Запрещено",U3="禁止"),"Запрещено","Error"))</f>
        <v>Запрещено</v>
      </c>
      <c r="L3" s="1">
        <v>1</v>
      </c>
      <c r="M3" s="1" t="s">
        <v>383</v>
      </c>
      <c r="N3" s="1" t="s">
        <v>261</v>
      </c>
      <c r="O3" s="1" t="s">
        <v>260</v>
      </c>
      <c r="P3" s="1">
        <v>2.75</v>
      </c>
      <c r="Q3" s="1">
        <v>38.5</v>
      </c>
      <c r="R3" s="1" t="s">
        <v>384</v>
      </c>
      <c r="S3" s="1">
        <f>T3-5</f>
        <v>3</v>
      </c>
      <c r="T3" s="1">
        <v>8</v>
      </c>
      <c r="U3" s="1" t="s">
        <v>385</v>
      </c>
    </row>
    <row r="4" spans="2:21">
      <c r="B4" s="1" t="str">
        <f t="shared" si="0"/>
        <v>UNI Express Extra Small</v>
      </c>
      <c r="C4" s="2">
        <f t="shared" si="1"/>
        <v>2</v>
      </c>
      <c r="D4" s="1" t="str">
        <f t="shared" si="2"/>
        <v>5-10</v>
      </c>
      <c r="E4" s="1" t="str">
        <f t="shared" si="3"/>
        <v>$0,38 + $0,00522/1 г</v>
      </c>
      <c r="F4" s="1" t="s">
        <v>270</v>
      </c>
      <c r="G4" s="1" t="str">
        <f t="shared" si="4"/>
        <v>Разрешено</v>
      </c>
      <c r="L4" s="1">
        <v>2</v>
      </c>
      <c r="M4" s="1" t="s">
        <v>386</v>
      </c>
      <c r="N4" s="1" t="s">
        <v>261</v>
      </c>
      <c r="O4" s="1" t="s">
        <v>260</v>
      </c>
      <c r="P4" s="1">
        <v>0.38</v>
      </c>
      <c r="Q4" s="1">
        <v>5.22</v>
      </c>
      <c r="R4" s="1" t="s">
        <v>387</v>
      </c>
      <c r="S4" s="1">
        <f t="shared" ref="S4:S66" si="5">T4-5</f>
        <v>5</v>
      </c>
      <c r="T4" s="1">
        <v>10</v>
      </c>
      <c r="U4" s="1" t="s">
        <v>388</v>
      </c>
    </row>
    <row r="5" spans="2:21">
      <c r="B5" s="1" t="str">
        <f t="shared" si="0"/>
        <v>ABT  Express Extra Small</v>
      </c>
      <c r="C5" s="2">
        <f t="shared" si="1"/>
        <v>3</v>
      </c>
      <c r="D5" s="1" t="str">
        <f t="shared" si="2"/>
        <v>5-10</v>
      </c>
      <c r="E5" s="1" t="str">
        <f t="shared" si="3"/>
        <v>¥2,8 + ¥0,039/1 г</v>
      </c>
      <c r="F5" s="1" t="s">
        <v>270</v>
      </c>
      <c r="G5" s="1" t="str">
        <f t="shared" si="4"/>
        <v>Запрещено</v>
      </c>
      <c r="L5" s="1">
        <v>3</v>
      </c>
      <c r="M5" s="1" t="s">
        <v>389</v>
      </c>
      <c r="N5" s="1" t="s">
        <v>261</v>
      </c>
      <c r="O5" s="1" t="s">
        <v>260</v>
      </c>
      <c r="P5" s="1">
        <v>2.8</v>
      </c>
      <c r="Q5" s="1">
        <v>39</v>
      </c>
      <c r="R5" s="1" t="s">
        <v>384</v>
      </c>
      <c r="S5" s="1">
        <f t="shared" si="5"/>
        <v>5</v>
      </c>
      <c r="T5" s="1">
        <v>10</v>
      </c>
      <c r="U5" s="1" t="s">
        <v>264</v>
      </c>
    </row>
    <row r="6" spans="2:21">
      <c r="B6" s="1" t="str">
        <f t="shared" si="0"/>
        <v>OYX  Express Extra Small</v>
      </c>
      <c r="C6" s="2">
        <f t="shared" si="1"/>
        <v>4</v>
      </c>
      <c r="D6" s="1" t="str">
        <f t="shared" si="2"/>
        <v>5-10</v>
      </c>
      <c r="E6" s="1" t="str">
        <f t="shared" si="3"/>
        <v>¥2,9 + ¥0,0388/1 г</v>
      </c>
      <c r="F6" s="1" t="s">
        <v>270</v>
      </c>
      <c r="G6" s="1" t="str">
        <f t="shared" si="4"/>
        <v>Запрещено</v>
      </c>
      <c r="L6" s="1">
        <v>4</v>
      </c>
      <c r="M6" s="1" t="s">
        <v>390</v>
      </c>
      <c r="N6" s="1" t="s">
        <v>261</v>
      </c>
      <c r="O6" s="1" t="s">
        <v>260</v>
      </c>
      <c r="P6" s="1">
        <v>2.9</v>
      </c>
      <c r="Q6" s="1">
        <v>38.8</v>
      </c>
      <c r="R6" s="1" t="s">
        <v>384</v>
      </c>
      <c r="S6" s="1">
        <f t="shared" si="5"/>
        <v>5</v>
      </c>
      <c r="T6" s="1">
        <v>10</v>
      </c>
      <c r="U6" s="1" t="s">
        <v>264</v>
      </c>
    </row>
    <row r="7" spans="2:21">
      <c r="B7" s="1" t="str">
        <f t="shared" si="0"/>
        <v>Xingyuan Express Extra Small</v>
      </c>
      <c r="C7" s="2">
        <f t="shared" si="1"/>
        <v>5</v>
      </c>
      <c r="D7" s="1" t="str">
        <f t="shared" si="2"/>
        <v>5-10</v>
      </c>
      <c r="E7" s="1" t="str">
        <f t="shared" si="3"/>
        <v>¥2,9 + ¥0,039/1 г</v>
      </c>
      <c r="F7" s="1" t="s">
        <v>270</v>
      </c>
      <c r="G7" s="1" t="str">
        <f t="shared" si="4"/>
        <v>Запрещено</v>
      </c>
      <c r="L7" s="1">
        <v>5</v>
      </c>
      <c r="M7" s="1" t="s">
        <v>391</v>
      </c>
      <c r="N7" s="1" t="s">
        <v>261</v>
      </c>
      <c r="O7" s="1" t="s">
        <v>260</v>
      </c>
      <c r="P7" s="1">
        <v>2.9</v>
      </c>
      <c r="Q7" s="1">
        <v>39</v>
      </c>
      <c r="R7" s="1" t="s">
        <v>384</v>
      </c>
      <c r="S7" s="1">
        <f t="shared" si="5"/>
        <v>5</v>
      </c>
      <c r="T7" s="1">
        <v>10</v>
      </c>
      <c r="U7" s="1" t="s">
        <v>264</v>
      </c>
    </row>
    <row r="8" spans="2:21">
      <c r="B8" s="1" t="str">
        <f t="shared" si="0"/>
        <v>CEL Express Extra Small</v>
      </c>
      <c r="C8" s="2">
        <f t="shared" si="1"/>
        <v>6</v>
      </c>
      <c r="D8" s="1" t="str">
        <f t="shared" si="2"/>
        <v>5-10</v>
      </c>
      <c r="E8" s="1" t="str">
        <f t="shared" si="3"/>
        <v>¥2,8 + ¥0,04/1 г</v>
      </c>
      <c r="F8" s="1" t="s">
        <v>270</v>
      </c>
      <c r="G8" s="1" t="str">
        <f t="shared" si="4"/>
        <v>Запрещено</v>
      </c>
      <c r="L8" s="1">
        <v>6</v>
      </c>
      <c r="M8" s="1" t="s">
        <v>392</v>
      </c>
      <c r="N8" s="1" t="s">
        <v>261</v>
      </c>
      <c r="O8" s="1" t="s">
        <v>260</v>
      </c>
      <c r="P8" s="1">
        <v>2.8</v>
      </c>
      <c r="Q8" s="1">
        <v>40</v>
      </c>
      <c r="R8" s="1" t="s">
        <v>384</v>
      </c>
      <c r="S8" s="1">
        <f t="shared" si="5"/>
        <v>5</v>
      </c>
      <c r="T8" s="1">
        <v>10</v>
      </c>
      <c r="U8" s="1" t="s">
        <v>264</v>
      </c>
    </row>
    <row r="9" spans="2:21">
      <c r="B9" s="1" t="str">
        <f t="shared" si="0"/>
        <v>ZTO Express Extra Small</v>
      </c>
      <c r="C9" s="2">
        <f t="shared" si="1"/>
        <v>7</v>
      </c>
      <c r="D9" s="1" t="str">
        <f t="shared" si="2"/>
        <v>5-10</v>
      </c>
      <c r="E9" s="1" t="str">
        <f t="shared" si="3"/>
        <v>¥3 + ¥0,045/1 г</v>
      </c>
      <c r="F9" s="1" t="s">
        <v>270</v>
      </c>
      <c r="G9" s="1" t="str">
        <f t="shared" si="4"/>
        <v>Запрещено</v>
      </c>
      <c r="L9" s="1">
        <v>7</v>
      </c>
      <c r="M9" s="1" t="s">
        <v>393</v>
      </c>
      <c r="N9" s="1" t="s">
        <v>261</v>
      </c>
      <c r="O9" s="1" t="s">
        <v>260</v>
      </c>
      <c r="P9" s="1">
        <v>3</v>
      </c>
      <c r="Q9" s="1">
        <v>45</v>
      </c>
      <c r="R9" s="1" t="s">
        <v>384</v>
      </c>
      <c r="S9" s="1">
        <f t="shared" si="5"/>
        <v>5</v>
      </c>
      <c r="T9" s="1">
        <v>10</v>
      </c>
      <c r="U9" s="1" t="s">
        <v>264</v>
      </c>
    </row>
    <row r="10" spans="2:21">
      <c r="B10" s="1" t="str">
        <f t="shared" si="0"/>
        <v>Tanais Express Extra Small</v>
      </c>
      <c r="C10" s="2">
        <f t="shared" si="1"/>
        <v>8</v>
      </c>
      <c r="D10" s="1" t="str">
        <f t="shared" si="2"/>
        <v>3-8</v>
      </c>
      <c r="E10" s="1" t="str">
        <f t="shared" si="3"/>
        <v>¥2,95 + ¥0,0449/1 г</v>
      </c>
      <c r="F10" s="1" t="s">
        <v>270</v>
      </c>
      <c r="G10" s="1" t="str">
        <f t="shared" si="4"/>
        <v>Запрещено</v>
      </c>
      <c r="L10" s="1">
        <v>8</v>
      </c>
      <c r="M10" s="1" t="s">
        <v>394</v>
      </c>
      <c r="N10" s="1" t="s">
        <v>261</v>
      </c>
      <c r="O10" s="1" t="s">
        <v>260</v>
      </c>
      <c r="P10" s="1">
        <v>2.95</v>
      </c>
      <c r="Q10" s="1">
        <v>44.9</v>
      </c>
      <c r="R10" s="1" t="s">
        <v>384</v>
      </c>
      <c r="S10" s="1">
        <f t="shared" si="5"/>
        <v>3</v>
      </c>
      <c r="T10" s="1">
        <v>8</v>
      </c>
      <c r="U10" s="1" t="s">
        <v>385</v>
      </c>
    </row>
    <row r="11" s="4" customFormat="1" spans="2:21">
      <c r="B11" s="4" t="str">
        <f t="shared" si="0"/>
        <v>IML Express Extra Small</v>
      </c>
      <c r="C11" s="6">
        <f t="shared" si="1"/>
        <v>9</v>
      </c>
      <c r="D11" s="4" t="str">
        <f t="shared" si="2"/>
        <v>3-8</v>
      </c>
      <c r="E11" s="4" t="str">
        <f t="shared" si="3"/>
        <v>¥2,95 + ¥0,045/1 г</v>
      </c>
      <c r="F11" s="4" t="s">
        <v>270</v>
      </c>
      <c r="G11" s="4" t="str">
        <f t="shared" si="4"/>
        <v>Разрешено</v>
      </c>
      <c r="L11" s="4">
        <v>9</v>
      </c>
      <c r="M11" s="4" t="s">
        <v>395</v>
      </c>
      <c r="N11" s="4" t="s">
        <v>261</v>
      </c>
      <c r="O11" s="4" t="s">
        <v>260</v>
      </c>
      <c r="P11" s="4">
        <v>2.95</v>
      </c>
      <c r="Q11" s="4">
        <v>45</v>
      </c>
      <c r="R11" s="4" t="s">
        <v>384</v>
      </c>
      <c r="S11" s="4">
        <f t="shared" si="5"/>
        <v>3</v>
      </c>
      <c r="T11" s="4">
        <v>8</v>
      </c>
      <c r="U11" s="4" t="s">
        <v>277</v>
      </c>
    </row>
    <row r="12" spans="2:21">
      <c r="B12" s="1" t="str">
        <f t="shared" si="0"/>
        <v>Ural Express Extra Small</v>
      </c>
      <c r="C12" s="7">
        <v>9</v>
      </c>
      <c r="D12" s="1" t="str">
        <f t="shared" si="2"/>
        <v>5-10</v>
      </c>
      <c r="E12" s="1" t="str">
        <f t="shared" si="3"/>
        <v>¥3 + ¥0,045/1 г</v>
      </c>
      <c r="F12" s="1" t="s">
        <v>270</v>
      </c>
      <c r="G12" s="1" t="str">
        <f t="shared" si="4"/>
        <v>Запрещено</v>
      </c>
      <c r="L12" s="1">
        <v>10</v>
      </c>
      <c r="M12" s="1" t="s">
        <v>396</v>
      </c>
      <c r="N12" s="1" t="s">
        <v>261</v>
      </c>
      <c r="O12" s="1" t="s">
        <v>260</v>
      </c>
      <c r="P12" s="1">
        <v>3</v>
      </c>
      <c r="Q12" s="1">
        <v>45</v>
      </c>
      <c r="R12" s="1" t="s">
        <v>384</v>
      </c>
      <c r="S12" s="1">
        <f t="shared" si="5"/>
        <v>5</v>
      </c>
      <c r="T12" s="1">
        <v>10</v>
      </c>
      <c r="U12" s="1" t="s">
        <v>264</v>
      </c>
    </row>
    <row r="13" spans="2:21">
      <c r="B13" s="1" t="str">
        <f t="shared" si="0"/>
        <v>GUOO Express Extra Small</v>
      </c>
      <c r="C13" s="7">
        <v>10</v>
      </c>
      <c r="D13" s="1" t="str">
        <f t="shared" si="2"/>
        <v>5-10</v>
      </c>
      <c r="E13" s="1" t="str">
        <f t="shared" si="3"/>
        <v>¥3 + ¥0,045/1 г</v>
      </c>
      <c r="F13" s="1" t="s">
        <v>270</v>
      </c>
      <c r="G13" s="1" t="str">
        <f t="shared" si="4"/>
        <v>Запрещено</v>
      </c>
      <c r="L13" s="1">
        <v>11</v>
      </c>
      <c r="M13" s="1" t="s">
        <v>397</v>
      </c>
      <c r="N13" s="1" t="s">
        <v>261</v>
      </c>
      <c r="O13" s="1" t="s">
        <v>260</v>
      </c>
      <c r="P13" s="1">
        <v>3</v>
      </c>
      <c r="Q13" s="1">
        <v>45</v>
      </c>
      <c r="R13" s="1" t="s">
        <v>384</v>
      </c>
      <c r="S13" s="1">
        <f t="shared" si="5"/>
        <v>5</v>
      </c>
      <c r="T13" s="1">
        <v>10</v>
      </c>
      <c r="U13" s="1" t="s">
        <v>264</v>
      </c>
    </row>
    <row r="14" s="5" customFormat="1" spans="2:21">
      <c r="B14" s="5" t="str">
        <f t="shared" si="0"/>
        <v>TFS Express Extra Small</v>
      </c>
      <c r="C14" s="8">
        <f>L14</f>
        <v>12</v>
      </c>
      <c r="D14" s="5" t="str">
        <f t="shared" si="2"/>
        <v>5-10</v>
      </c>
      <c r="E14" s="5" t="str">
        <f t="shared" si="3"/>
        <v>¥3 + ¥0,045/1 г</v>
      </c>
      <c r="F14" s="5" t="s">
        <v>270</v>
      </c>
      <c r="G14" s="5" t="str">
        <f t="shared" si="4"/>
        <v>Разрешено</v>
      </c>
      <c r="L14" s="5">
        <v>12</v>
      </c>
      <c r="M14" s="5" t="s">
        <v>398</v>
      </c>
      <c r="N14" s="5" t="s">
        <v>261</v>
      </c>
      <c r="O14" s="5" t="s">
        <v>260</v>
      </c>
      <c r="P14" s="5">
        <v>3</v>
      </c>
      <c r="Q14" s="5">
        <v>45</v>
      </c>
      <c r="R14" s="5" t="s">
        <v>384</v>
      </c>
      <c r="S14" s="5">
        <f t="shared" si="5"/>
        <v>5</v>
      </c>
      <c r="T14" s="5">
        <v>10</v>
      </c>
      <c r="U14" s="5" t="s">
        <v>388</v>
      </c>
    </row>
    <row r="16" spans="2:21">
      <c r="B16" s="1" t="str">
        <f t="shared" ref="B16:B28" si="6">M16&amp;" "&amp;N16&amp;" "&amp;O16</f>
        <v>RETS Standard Extra Small</v>
      </c>
      <c r="C16" s="2">
        <f t="shared" ref="C16:C22" si="7">L16</f>
        <v>1</v>
      </c>
      <c r="D16" s="1" t="str">
        <f t="shared" ref="D16:D28" si="8">T16-5&amp;"-"&amp;T16</f>
        <v>7-12</v>
      </c>
      <c r="E16" s="1" t="str">
        <f t="shared" ref="E16:E28" si="9">IF(R16="CNY","¥"&amp;P16&amp;" + ¥"&amp;Q16/1000&amp;"/1 г",IF(R16="USD","$"&amp;P16&amp;" + $"&amp;Q16/1000&amp;"/1 г","Error"))</f>
        <v>¥2,85 + ¥0,0265/1 г</v>
      </c>
      <c r="F16" s="1" t="s">
        <v>270</v>
      </c>
      <c r="G16" s="1" t="str">
        <f t="shared" ref="G16:G28" si="10">IF(OR(U16="Разрешено",U16="允许"),"Разрешено",IF(OR(U16="Запрещено",U16="禁止"),"Запрещено","Error"))</f>
        <v>Разрешено</v>
      </c>
      <c r="L16" s="1">
        <v>1</v>
      </c>
      <c r="M16" s="1" t="s">
        <v>383</v>
      </c>
      <c r="N16" s="1" t="s">
        <v>280</v>
      </c>
      <c r="O16" s="1" t="s">
        <v>260</v>
      </c>
      <c r="P16" s="1">
        <v>2.85</v>
      </c>
      <c r="Q16" s="1">
        <v>26.5</v>
      </c>
      <c r="R16" s="1" t="s">
        <v>384</v>
      </c>
      <c r="S16" s="1">
        <f t="shared" si="5"/>
        <v>7</v>
      </c>
      <c r="T16" s="1">
        <v>12</v>
      </c>
      <c r="U16" s="1" t="s">
        <v>388</v>
      </c>
    </row>
    <row r="17" spans="2:21">
      <c r="B17" s="1" t="str">
        <f t="shared" si="6"/>
        <v>UNI Standard Extra Small</v>
      </c>
      <c r="C17" s="2">
        <f t="shared" si="7"/>
        <v>2</v>
      </c>
      <c r="D17" s="1" t="str">
        <f t="shared" si="8"/>
        <v>10-15</v>
      </c>
      <c r="E17" s="1" t="str">
        <f t="shared" si="9"/>
        <v>$0,39 + $0,00359/1 г</v>
      </c>
      <c r="F17" s="1" t="s">
        <v>270</v>
      </c>
      <c r="G17" s="1" t="str">
        <f t="shared" si="10"/>
        <v>Разрешено</v>
      </c>
      <c r="L17" s="1">
        <v>2</v>
      </c>
      <c r="M17" s="1" t="s">
        <v>386</v>
      </c>
      <c r="N17" s="1" t="s">
        <v>280</v>
      </c>
      <c r="O17" s="1" t="s">
        <v>260</v>
      </c>
      <c r="P17" s="1">
        <v>0.39</v>
      </c>
      <c r="Q17" s="1">
        <v>3.59</v>
      </c>
      <c r="R17" s="1" t="s">
        <v>387</v>
      </c>
      <c r="S17" s="1">
        <f t="shared" si="5"/>
        <v>10</v>
      </c>
      <c r="T17" s="1">
        <v>15</v>
      </c>
      <c r="U17" s="1" t="s">
        <v>388</v>
      </c>
    </row>
    <row r="18" spans="2:21">
      <c r="B18" s="1" t="str">
        <f t="shared" si="6"/>
        <v>ABT  Standard Extra Small</v>
      </c>
      <c r="C18" s="2">
        <f t="shared" si="7"/>
        <v>3</v>
      </c>
      <c r="D18" s="1" t="str">
        <f t="shared" si="8"/>
        <v>10-15</v>
      </c>
      <c r="E18" s="1" t="str">
        <f t="shared" si="9"/>
        <v>¥2,8 + ¥0,027/1 г</v>
      </c>
      <c r="F18" s="1" t="s">
        <v>270</v>
      </c>
      <c r="G18" s="1" t="str">
        <f t="shared" si="10"/>
        <v>Разрешено</v>
      </c>
      <c r="L18" s="1">
        <v>3</v>
      </c>
      <c r="M18" s="1" t="s">
        <v>389</v>
      </c>
      <c r="N18" s="1" t="s">
        <v>280</v>
      </c>
      <c r="O18" s="1" t="s">
        <v>260</v>
      </c>
      <c r="P18" s="1">
        <v>2.8</v>
      </c>
      <c r="Q18" s="1">
        <v>27</v>
      </c>
      <c r="R18" s="1" t="s">
        <v>384</v>
      </c>
      <c r="S18" s="1">
        <f t="shared" si="5"/>
        <v>10</v>
      </c>
      <c r="T18" s="1">
        <v>15</v>
      </c>
      <c r="U18" s="1" t="s">
        <v>277</v>
      </c>
    </row>
    <row r="19" spans="2:21">
      <c r="B19" s="1" t="str">
        <f t="shared" si="6"/>
        <v>OYX  Standard Extra Small</v>
      </c>
      <c r="C19" s="2">
        <f t="shared" si="7"/>
        <v>4</v>
      </c>
      <c r="D19" s="1" t="str">
        <f t="shared" si="8"/>
        <v>10-15</v>
      </c>
      <c r="E19" s="1" t="str">
        <f t="shared" si="9"/>
        <v>¥2,9 + ¥0,0268/1 г</v>
      </c>
      <c r="F19" s="1" t="s">
        <v>270</v>
      </c>
      <c r="G19" s="1" t="str">
        <f t="shared" si="10"/>
        <v>Разрешено</v>
      </c>
      <c r="L19" s="1">
        <v>4</v>
      </c>
      <c r="M19" s="1" t="s">
        <v>390</v>
      </c>
      <c r="N19" s="1" t="s">
        <v>280</v>
      </c>
      <c r="O19" s="1" t="s">
        <v>260</v>
      </c>
      <c r="P19" s="1">
        <v>2.9</v>
      </c>
      <c r="Q19" s="1">
        <v>26.8</v>
      </c>
      <c r="R19" s="1" t="s">
        <v>384</v>
      </c>
      <c r="S19" s="1">
        <f t="shared" si="5"/>
        <v>10</v>
      </c>
      <c r="T19" s="1">
        <v>15</v>
      </c>
      <c r="U19" s="1" t="s">
        <v>277</v>
      </c>
    </row>
    <row r="20" spans="2:21">
      <c r="B20" s="1" t="str">
        <f t="shared" si="6"/>
        <v>Xingyuan Standard Extra Small</v>
      </c>
      <c r="C20" s="2">
        <f t="shared" si="7"/>
        <v>5</v>
      </c>
      <c r="D20" s="1" t="str">
        <f t="shared" si="8"/>
        <v>10-15</v>
      </c>
      <c r="E20" s="1" t="str">
        <f t="shared" si="9"/>
        <v>¥2,9 + ¥0,027/1 г</v>
      </c>
      <c r="F20" s="1" t="s">
        <v>270</v>
      </c>
      <c r="G20" s="1" t="str">
        <f t="shared" si="10"/>
        <v>Разрешено</v>
      </c>
      <c r="L20" s="1">
        <v>5</v>
      </c>
      <c r="M20" s="1" t="s">
        <v>391</v>
      </c>
      <c r="N20" s="1" t="s">
        <v>280</v>
      </c>
      <c r="O20" s="1" t="s">
        <v>260</v>
      </c>
      <c r="P20" s="1">
        <v>2.9</v>
      </c>
      <c r="Q20" s="1">
        <v>27</v>
      </c>
      <c r="R20" s="1" t="s">
        <v>384</v>
      </c>
      <c r="S20" s="1">
        <f t="shared" si="5"/>
        <v>10</v>
      </c>
      <c r="T20" s="1">
        <v>15</v>
      </c>
      <c r="U20" s="1" t="s">
        <v>277</v>
      </c>
    </row>
    <row r="21" spans="2:21">
      <c r="B21" s="1" t="str">
        <f t="shared" si="6"/>
        <v>CEL Standard Extra Small</v>
      </c>
      <c r="C21" s="2">
        <f t="shared" si="7"/>
        <v>6</v>
      </c>
      <c r="D21" s="1" t="str">
        <f t="shared" si="8"/>
        <v>8-13</v>
      </c>
      <c r="E21" s="1" t="str">
        <f t="shared" si="9"/>
        <v>¥2,8 + ¥0,0295/1 г</v>
      </c>
      <c r="F21" s="1" t="s">
        <v>270</v>
      </c>
      <c r="G21" s="1" t="str">
        <f t="shared" si="10"/>
        <v>Разрешено</v>
      </c>
      <c r="L21" s="1">
        <v>6</v>
      </c>
      <c r="M21" s="1" t="s">
        <v>392</v>
      </c>
      <c r="N21" s="1" t="s">
        <v>280</v>
      </c>
      <c r="O21" s="1" t="s">
        <v>260</v>
      </c>
      <c r="P21" s="1">
        <v>2.8</v>
      </c>
      <c r="Q21" s="1">
        <v>29.5</v>
      </c>
      <c r="R21" s="1" t="s">
        <v>384</v>
      </c>
      <c r="S21" s="1">
        <f t="shared" si="5"/>
        <v>8</v>
      </c>
      <c r="T21" s="1">
        <v>13</v>
      </c>
      <c r="U21" s="1" t="s">
        <v>277</v>
      </c>
    </row>
    <row r="22" s="4" customFormat="1" spans="2:21">
      <c r="B22" s="4" t="str">
        <f t="shared" si="6"/>
        <v>ATC Standard Extra Small</v>
      </c>
      <c r="C22" s="6">
        <f t="shared" si="7"/>
        <v>7</v>
      </c>
      <c r="D22" s="4" t="str">
        <f t="shared" si="8"/>
        <v>10-15</v>
      </c>
      <c r="E22" s="4" t="str">
        <f t="shared" si="9"/>
        <v>¥2,95 + ¥0,033/1 г</v>
      </c>
      <c r="F22" s="4" t="s">
        <v>270</v>
      </c>
      <c r="G22" s="4" t="str">
        <f t="shared" si="10"/>
        <v>Разрешено</v>
      </c>
      <c r="L22" s="4">
        <v>7</v>
      </c>
      <c r="M22" s="4" t="s">
        <v>399</v>
      </c>
      <c r="N22" s="4" t="s">
        <v>280</v>
      </c>
      <c r="O22" s="4" t="s">
        <v>260</v>
      </c>
      <c r="P22" s="4">
        <v>2.95</v>
      </c>
      <c r="Q22" s="4">
        <v>33</v>
      </c>
      <c r="R22" s="4" t="s">
        <v>384</v>
      </c>
      <c r="S22" s="4">
        <f t="shared" si="5"/>
        <v>10</v>
      </c>
      <c r="T22" s="4">
        <v>15</v>
      </c>
      <c r="U22" s="4" t="s">
        <v>388</v>
      </c>
    </row>
    <row r="23" spans="2:21">
      <c r="B23" s="1" t="str">
        <f t="shared" si="6"/>
        <v>ZTO Standard Extra Small</v>
      </c>
      <c r="C23" s="7">
        <v>7</v>
      </c>
      <c r="D23" s="1" t="str">
        <f t="shared" si="8"/>
        <v>10-15</v>
      </c>
      <c r="E23" s="1" t="str">
        <f t="shared" si="9"/>
        <v>¥3 + ¥0,035/1 г</v>
      </c>
      <c r="F23" s="1" t="s">
        <v>270</v>
      </c>
      <c r="G23" s="1" t="str">
        <f t="shared" si="10"/>
        <v>Разрешено</v>
      </c>
      <c r="L23" s="1">
        <v>8</v>
      </c>
      <c r="M23" s="1" t="s">
        <v>393</v>
      </c>
      <c r="N23" s="1" t="s">
        <v>280</v>
      </c>
      <c r="O23" s="1" t="s">
        <v>260</v>
      </c>
      <c r="P23" s="1">
        <v>3</v>
      </c>
      <c r="Q23" s="1">
        <v>35</v>
      </c>
      <c r="R23" s="1" t="s">
        <v>384</v>
      </c>
      <c r="S23" s="1">
        <f t="shared" si="5"/>
        <v>10</v>
      </c>
      <c r="T23" s="1">
        <v>15</v>
      </c>
      <c r="U23" s="1" t="s">
        <v>277</v>
      </c>
    </row>
    <row r="24" spans="2:21">
      <c r="B24" s="1" t="str">
        <f t="shared" si="6"/>
        <v>Tanais Standard Extra Small</v>
      </c>
      <c r="C24" s="7">
        <v>8</v>
      </c>
      <c r="D24" s="1" t="str">
        <f t="shared" si="8"/>
        <v>10-15</v>
      </c>
      <c r="E24" s="1" t="str">
        <f t="shared" si="9"/>
        <v>¥2,95 + ¥0,0349/1 г</v>
      </c>
      <c r="F24" s="1" t="s">
        <v>270</v>
      </c>
      <c r="G24" s="1" t="str">
        <f t="shared" si="10"/>
        <v>Разрешено</v>
      </c>
      <c r="L24" s="1">
        <v>9</v>
      </c>
      <c r="M24" s="1" t="s">
        <v>394</v>
      </c>
      <c r="N24" s="1" t="s">
        <v>280</v>
      </c>
      <c r="O24" s="1" t="s">
        <v>260</v>
      </c>
      <c r="P24" s="1">
        <v>2.95</v>
      </c>
      <c r="Q24" s="1">
        <v>34.9</v>
      </c>
      <c r="R24" s="1" t="s">
        <v>384</v>
      </c>
      <c r="S24" s="1">
        <f t="shared" si="5"/>
        <v>10</v>
      </c>
      <c r="T24" s="1">
        <v>15</v>
      </c>
      <c r="U24" s="1" t="s">
        <v>388</v>
      </c>
    </row>
    <row r="25" spans="2:21">
      <c r="B25" s="1" t="str">
        <f t="shared" si="6"/>
        <v>Ural Standard Extra Small</v>
      </c>
      <c r="C25" s="7">
        <v>9</v>
      </c>
      <c r="D25" s="1" t="str">
        <f t="shared" si="8"/>
        <v>10-15</v>
      </c>
      <c r="E25" s="1" t="str">
        <f t="shared" si="9"/>
        <v>¥3 + ¥0,035/1 г</v>
      </c>
      <c r="F25" s="1" t="s">
        <v>270</v>
      </c>
      <c r="G25" s="1" t="str">
        <f t="shared" si="10"/>
        <v>Разрешено</v>
      </c>
      <c r="L25" s="1">
        <v>10</v>
      </c>
      <c r="M25" s="1" t="s">
        <v>396</v>
      </c>
      <c r="N25" s="1" t="s">
        <v>280</v>
      </c>
      <c r="O25" s="1" t="s">
        <v>260</v>
      </c>
      <c r="P25" s="1">
        <v>3</v>
      </c>
      <c r="Q25" s="1">
        <v>35</v>
      </c>
      <c r="R25" s="1" t="s">
        <v>384</v>
      </c>
      <c r="S25" s="1">
        <f t="shared" si="5"/>
        <v>10</v>
      </c>
      <c r="T25" s="1">
        <v>15</v>
      </c>
      <c r="U25" s="1" t="s">
        <v>277</v>
      </c>
    </row>
    <row r="26" s="4" customFormat="1" spans="2:21">
      <c r="B26" s="4" t="str">
        <f t="shared" si="6"/>
        <v>IML Standard Extra Small</v>
      </c>
      <c r="C26" s="6">
        <f>L26</f>
        <v>10</v>
      </c>
      <c r="D26" s="4" t="str">
        <f t="shared" si="8"/>
        <v>9-14</v>
      </c>
      <c r="E26" s="4" t="str">
        <f t="shared" si="9"/>
        <v>¥2,95 + ¥0,035/1 г</v>
      </c>
      <c r="F26" s="4" t="s">
        <v>270</v>
      </c>
      <c r="G26" s="4" t="str">
        <f t="shared" si="10"/>
        <v>Разрешено</v>
      </c>
      <c r="L26" s="4">
        <v>10</v>
      </c>
      <c r="M26" s="4" t="s">
        <v>395</v>
      </c>
      <c r="N26" s="4" t="s">
        <v>280</v>
      </c>
      <c r="O26" s="4" t="s">
        <v>260</v>
      </c>
      <c r="P26" s="4">
        <v>2.95</v>
      </c>
      <c r="Q26" s="4">
        <v>35</v>
      </c>
      <c r="R26" s="4" t="s">
        <v>384</v>
      </c>
      <c r="S26" s="4">
        <f t="shared" si="5"/>
        <v>9</v>
      </c>
      <c r="T26" s="4">
        <v>14</v>
      </c>
      <c r="U26" s="4" t="s">
        <v>277</v>
      </c>
    </row>
    <row r="27" spans="2:21">
      <c r="B27" s="1" t="str">
        <f t="shared" si="6"/>
        <v>GUOO Standard Extra Small</v>
      </c>
      <c r="C27" s="7">
        <v>10</v>
      </c>
      <c r="D27" s="1" t="str">
        <f t="shared" si="8"/>
        <v>10-15</v>
      </c>
      <c r="E27" s="1" t="str">
        <f t="shared" si="9"/>
        <v>¥3 + ¥0,035/1 г</v>
      </c>
      <c r="F27" s="1" t="s">
        <v>270</v>
      </c>
      <c r="G27" s="1" t="str">
        <f t="shared" si="10"/>
        <v>Разрешено</v>
      </c>
      <c r="L27" s="1">
        <v>12</v>
      </c>
      <c r="M27" s="1" t="s">
        <v>397</v>
      </c>
      <c r="N27" s="1" t="s">
        <v>280</v>
      </c>
      <c r="O27" s="1" t="s">
        <v>260</v>
      </c>
      <c r="P27" s="1">
        <v>3</v>
      </c>
      <c r="Q27" s="1">
        <v>35</v>
      </c>
      <c r="R27" s="1" t="s">
        <v>384</v>
      </c>
      <c r="S27" s="1">
        <f t="shared" si="5"/>
        <v>10</v>
      </c>
      <c r="T27" s="1">
        <v>15</v>
      </c>
      <c r="U27" s="1" t="s">
        <v>277</v>
      </c>
    </row>
    <row r="28" s="5" customFormat="1" spans="2:21">
      <c r="B28" s="5" t="str">
        <f t="shared" si="6"/>
        <v>TFS Standard Extra Small</v>
      </c>
      <c r="C28" s="8">
        <f>L28</f>
        <v>13</v>
      </c>
      <c r="D28" s="5" t="str">
        <f t="shared" si="8"/>
        <v>10-15</v>
      </c>
      <c r="E28" s="5" t="str">
        <f t="shared" si="9"/>
        <v>¥3 + ¥0,035/1 г</v>
      </c>
      <c r="F28" s="5" t="s">
        <v>270</v>
      </c>
      <c r="G28" s="5" t="str">
        <f t="shared" si="10"/>
        <v>Разрешено</v>
      </c>
      <c r="L28" s="5">
        <v>13</v>
      </c>
      <c r="M28" s="5" t="s">
        <v>398</v>
      </c>
      <c r="N28" s="5" t="s">
        <v>280</v>
      </c>
      <c r="O28" s="5" t="s">
        <v>260</v>
      </c>
      <c r="P28" s="5">
        <v>3</v>
      </c>
      <c r="Q28" s="5">
        <v>35</v>
      </c>
      <c r="R28" s="5" t="s">
        <v>384</v>
      </c>
      <c r="S28" s="5">
        <f t="shared" si="5"/>
        <v>10</v>
      </c>
      <c r="T28" s="5">
        <v>15</v>
      </c>
      <c r="U28" s="5" t="s">
        <v>388</v>
      </c>
    </row>
    <row r="30" spans="2:21">
      <c r="B30" s="1" t="str">
        <f t="shared" ref="B30:B44" si="11">M30&amp;" "&amp;N30&amp;" "&amp;O30</f>
        <v>RETS Economy Extra Small</v>
      </c>
      <c r="C30" s="2">
        <f>L30</f>
        <v>1</v>
      </c>
      <c r="D30" s="1" t="str">
        <f t="shared" ref="D30:D44" si="12">T30-5&amp;"-"&amp;T30</f>
        <v>13-18</v>
      </c>
      <c r="E30" s="1" t="str">
        <f t="shared" ref="E30:E44" si="13">IF(R30="CNY","¥"&amp;P30&amp;" + ¥"&amp;Q30/1000&amp;"/1 г",IF(R30="USD","$"&amp;P30&amp;" + $"&amp;Q30/1000&amp;"/1 г","Error"))</f>
        <v>¥2,85 + ¥0,022/1 г</v>
      </c>
      <c r="F30" s="1" t="s">
        <v>270</v>
      </c>
      <c r="G30" s="1" t="str">
        <f t="shared" ref="G30:G44" si="14">IF(OR(U30="Разрешено",U30="允许"),"Разрешено",IF(OR(U30="Запрещено",U30="禁止"),"Запрещено","Error"))</f>
        <v>Разрешено</v>
      </c>
      <c r="L30" s="1">
        <v>1</v>
      </c>
      <c r="M30" s="1" t="s">
        <v>383</v>
      </c>
      <c r="N30" s="1" t="s">
        <v>287</v>
      </c>
      <c r="O30" s="1" t="s">
        <v>260</v>
      </c>
      <c r="P30" s="1">
        <v>2.85</v>
      </c>
      <c r="Q30" s="1">
        <v>22</v>
      </c>
      <c r="R30" s="1" t="s">
        <v>384</v>
      </c>
      <c r="S30" s="1">
        <f t="shared" si="5"/>
        <v>13</v>
      </c>
      <c r="T30" s="1">
        <v>18</v>
      </c>
      <c r="U30" s="1" t="s">
        <v>388</v>
      </c>
    </row>
    <row r="31" s="5" customFormat="1" spans="2:21">
      <c r="B31" s="5" t="str">
        <f t="shared" si="11"/>
        <v>Cainiao Economy Extra Small</v>
      </c>
      <c r="C31" s="8">
        <f>L31</f>
        <v>2</v>
      </c>
      <c r="D31" s="5" t="str">
        <f t="shared" si="12"/>
        <v>14-19</v>
      </c>
      <c r="E31" s="5" t="str">
        <f t="shared" si="13"/>
        <v>¥2,95 + ¥0,023/1 г</v>
      </c>
      <c r="F31" s="5" t="s">
        <v>270</v>
      </c>
      <c r="G31" s="5" t="str">
        <f t="shared" si="14"/>
        <v>Разрешено</v>
      </c>
      <c r="L31" s="5">
        <v>2</v>
      </c>
      <c r="M31" s="5" t="s">
        <v>400</v>
      </c>
      <c r="N31" s="5" t="s">
        <v>287</v>
      </c>
      <c r="O31" s="5" t="s">
        <v>260</v>
      </c>
      <c r="P31" s="5">
        <v>2.95</v>
      </c>
      <c r="Q31" s="5">
        <v>23</v>
      </c>
      <c r="R31" s="5" t="s">
        <v>384</v>
      </c>
      <c r="S31" s="5">
        <f t="shared" si="5"/>
        <v>14</v>
      </c>
      <c r="T31" s="5">
        <v>19</v>
      </c>
      <c r="U31" s="5" t="s">
        <v>277</v>
      </c>
    </row>
    <row r="32" spans="2:21">
      <c r="B32" s="1" t="str">
        <f t="shared" si="11"/>
        <v>CEL Economy Extra Small</v>
      </c>
      <c r="C32" s="9">
        <v>2</v>
      </c>
      <c r="D32" s="1" t="str">
        <f t="shared" si="12"/>
        <v>16-21</v>
      </c>
      <c r="E32" s="1" t="str">
        <f t="shared" si="13"/>
        <v>¥2,8 + ¥0,023/1 г</v>
      </c>
      <c r="F32" s="1" t="s">
        <v>270</v>
      </c>
      <c r="G32" s="1" t="str">
        <f t="shared" si="14"/>
        <v>Разрешено</v>
      </c>
      <c r="L32" s="1">
        <v>3</v>
      </c>
      <c r="M32" s="1" t="s">
        <v>392</v>
      </c>
      <c r="N32" s="1" t="s">
        <v>287</v>
      </c>
      <c r="O32" s="1" t="s">
        <v>260</v>
      </c>
      <c r="P32" s="1">
        <v>2.8</v>
      </c>
      <c r="Q32" s="1">
        <v>23</v>
      </c>
      <c r="R32" s="1" t="s">
        <v>384</v>
      </c>
      <c r="S32" s="1">
        <f t="shared" si="5"/>
        <v>16</v>
      </c>
      <c r="T32" s="1">
        <v>21</v>
      </c>
      <c r="U32" s="1" t="s">
        <v>277</v>
      </c>
    </row>
    <row r="33" spans="2:21">
      <c r="B33" s="1" t="str">
        <f t="shared" si="11"/>
        <v>ABT  Economy Extra Small</v>
      </c>
      <c r="C33" s="9">
        <v>3</v>
      </c>
      <c r="D33" s="1" t="str">
        <f t="shared" si="12"/>
        <v>20-25</v>
      </c>
      <c r="E33" s="1" t="str">
        <f t="shared" si="13"/>
        <v>¥2,8 + ¥0,025/1 г</v>
      </c>
      <c r="F33" s="1" t="s">
        <v>270</v>
      </c>
      <c r="G33" s="1" t="str">
        <f t="shared" si="14"/>
        <v>Разрешено</v>
      </c>
      <c r="L33" s="1">
        <v>4</v>
      </c>
      <c r="M33" s="1" t="s">
        <v>389</v>
      </c>
      <c r="N33" s="1" t="s">
        <v>287</v>
      </c>
      <c r="O33" s="1" t="s">
        <v>260</v>
      </c>
      <c r="P33" s="1">
        <v>2.8</v>
      </c>
      <c r="Q33" s="1">
        <v>25</v>
      </c>
      <c r="R33" s="1" t="s">
        <v>384</v>
      </c>
      <c r="S33" s="1">
        <f t="shared" si="5"/>
        <v>20</v>
      </c>
      <c r="T33" s="1">
        <v>25</v>
      </c>
      <c r="U33" s="1" t="s">
        <v>277</v>
      </c>
    </row>
    <row r="34" spans="2:21">
      <c r="B34" s="1" t="str">
        <f t="shared" si="11"/>
        <v>OYX  Economy Extra Small</v>
      </c>
      <c r="C34" s="9">
        <v>3</v>
      </c>
      <c r="D34" s="1" t="str">
        <f t="shared" si="12"/>
        <v>15-20</v>
      </c>
      <c r="E34" s="1" t="str">
        <f t="shared" si="13"/>
        <v>¥2,9 + ¥0,0248/1 г</v>
      </c>
      <c r="F34" s="1" t="s">
        <v>270</v>
      </c>
      <c r="G34" s="1" t="str">
        <f t="shared" si="14"/>
        <v>Разрешено</v>
      </c>
      <c r="L34" s="1">
        <v>4</v>
      </c>
      <c r="M34" s="1" t="s">
        <v>390</v>
      </c>
      <c r="N34" s="1" t="s">
        <v>287</v>
      </c>
      <c r="O34" s="1" t="s">
        <v>260</v>
      </c>
      <c r="P34" s="1">
        <v>2.9</v>
      </c>
      <c r="Q34" s="1">
        <v>24.8</v>
      </c>
      <c r="R34" s="1" t="s">
        <v>384</v>
      </c>
      <c r="S34" s="1">
        <f t="shared" si="5"/>
        <v>15</v>
      </c>
      <c r="T34" s="1">
        <v>20</v>
      </c>
      <c r="U34" s="1" t="s">
        <v>277</v>
      </c>
    </row>
    <row r="35" s="4" customFormat="1" spans="2:21">
      <c r="B35" s="4" t="str">
        <f t="shared" si="11"/>
        <v>ATC Economy Extra Small</v>
      </c>
      <c r="C35" s="6">
        <v>5</v>
      </c>
      <c r="D35" s="4" t="str">
        <f t="shared" si="12"/>
        <v>20-25</v>
      </c>
      <c r="E35" s="4" t="str">
        <f t="shared" si="13"/>
        <v>¥2,95 + ¥0,024/1 г</v>
      </c>
      <c r="F35" s="4" t="s">
        <v>270</v>
      </c>
      <c r="G35" s="4" t="str">
        <f t="shared" si="14"/>
        <v>Разрешено</v>
      </c>
      <c r="L35" s="4">
        <v>6</v>
      </c>
      <c r="M35" s="4" t="s">
        <v>399</v>
      </c>
      <c r="N35" s="4" t="s">
        <v>287</v>
      </c>
      <c r="O35" s="4" t="s">
        <v>260</v>
      </c>
      <c r="P35" s="4">
        <v>2.95</v>
      </c>
      <c r="Q35" s="4">
        <v>24</v>
      </c>
      <c r="R35" s="4" t="s">
        <v>384</v>
      </c>
      <c r="S35" s="4">
        <f t="shared" si="5"/>
        <v>20</v>
      </c>
      <c r="T35" s="4">
        <v>25</v>
      </c>
      <c r="U35" s="4" t="s">
        <v>388</v>
      </c>
    </row>
    <row r="36" spans="2:21">
      <c r="B36" s="1" t="str">
        <f t="shared" si="11"/>
        <v>Xingyuan Economy Extra Small</v>
      </c>
      <c r="C36" s="7">
        <v>5</v>
      </c>
      <c r="D36" s="1" t="str">
        <f t="shared" si="12"/>
        <v>15-20</v>
      </c>
      <c r="E36" s="1" t="str">
        <f t="shared" si="13"/>
        <v>¥2,9 + ¥0,025/1 г</v>
      </c>
      <c r="F36" s="1" t="s">
        <v>270</v>
      </c>
      <c r="G36" s="1" t="str">
        <f t="shared" si="14"/>
        <v>Разрешено</v>
      </c>
      <c r="L36" s="1">
        <v>7</v>
      </c>
      <c r="M36" s="1" t="s">
        <v>391</v>
      </c>
      <c r="N36" s="1" t="s">
        <v>287</v>
      </c>
      <c r="O36" s="1" t="s">
        <v>260</v>
      </c>
      <c r="P36" s="1">
        <v>2.9</v>
      </c>
      <c r="Q36" s="1">
        <v>25</v>
      </c>
      <c r="R36" s="1" t="s">
        <v>384</v>
      </c>
      <c r="S36" s="1">
        <f t="shared" si="5"/>
        <v>15</v>
      </c>
      <c r="T36" s="1">
        <v>20</v>
      </c>
      <c r="U36" s="1" t="s">
        <v>277</v>
      </c>
    </row>
    <row r="37" s="5" customFormat="1" spans="2:21">
      <c r="B37" s="5" t="str">
        <f t="shared" si="11"/>
        <v>Leader Economy Extra Small</v>
      </c>
      <c r="C37" s="8">
        <f>L37</f>
        <v>8</v>
      </c>
      <c r="D37" s="5" t="str">
        <f t="shared" si="12"/>
        <v>20-25</v>
      </c>
      <c r="E37" s="5" t="str">
        <f t="shared" si="13"/>
        <v>¥3 + ¥0,0245/1 г</v>
      </c>
      <c r="F37" s="5" t="s">
        <v>270</v>
      </c>
      <c r="G37" s="5" t="str">
        <f t="shared" si="14"/>
        <v>Разрешено</v>
      </c>
      <c r="L37" s="5">
        <v>8</v>
      </c>
      <c r="M37" s="5" t="s">
        <v>401</v>
      </c>
      <c r="N37" s="5" t="s">
        <v>287</v>
      </c>
      <c r="O37" s="5" t="s">
        <v>260</v>
      </c>
      <c r="P37" s="5">
        <v>3</v>
      </c>
      <c r="Q37" s="5">
        <v>24.5</v>
      </c>
      <c r="R37" s="5" t="s">
        <v>384</v>
      </c>
      <c r="S37" s="5">
        <f t="shared" si="5"/>
        <v>20</v>
      </c>
      <c r="T37" s="5">
        <v>25</v>
      </c>
      <c r="U37" s="5" t="s">
        <v>277</v>
      </c>
    </row>
    <row r="38" spans="2:21">
      <c r="B38" s="1" t="str">
        <f t="shared" si="11"/>
        <v>ZTO Economy Extra Small</v>
      </c>
      <c r="C38" s="7">
        <v>6</v>
      </c>
      <c r="D38" s="1" t="str">
        <f t="shared" si="12"/>
        <v>20-25</v>
      </c>
      <c r="E38" s="1" t="str">
        <f t="shared" si="13"/>
        <v>¥3 + ¥0,025/1 г</v>
      </c>
      <c r="F38" s="1" t="s">
        <v>270</v>
      </c>
      <c r="G38" s="1" t="str">
        <f t="shared" si="14"/>
        <v>Разрешено</v>
      </c>
      <c r="L38" s="1">
        <v>9</v>
      </c>
      <c r="M38" s="1" t="s">
        <v>393</v>
      </c>
      <c r="N38" s="1" t="s">
        <v>287</v>
      </c>
      <c r="O38" s="1" t="s">
        <v>260</v>
      </c>
      <c r="P38" s="1">
        <v>3</v>
      </c>
      <c r="Q38" s="1">
        <v>25</v>
      </c>
      <c r="R38" s="1" t="s">
        <v>384</v>
      </c>
      <c r="S38" s="1">
        <f t="shared" si="5"/>
        <v>20</v>
      </c>
      <c r="T38" s="1">
        <v>25</v>
      </c>
      <c r="U38" s="1" t="s">
        <v>277</v>
      </c>
    </row>
    <row r="39" spans="2:21">
      <c r="B39" s="1" t="str">
        <f t="shared" si="11"/>
        <v>Ural Economy Extra Small</v>
      </c>
      <c r="C39" s="7">
        <v>7</v>
      </c>
      <c r="D39" s="1" t="str">
        <f t="shared" si="12"/>
        <v>15-20</v>
      </c>
      <c r="E39" s="1" t="str">
        <f t="shared" si="13"/>
        <v>¥3 + ¥0,025/1 г</v>
      </c>
      <c r="F39" s="1" t="s">
        <v>270</v>
      </c>
      <c r="G39" s="1" t="str">
        <f t="shared" si="14"/>
        <v>Разрешено</v>
      </c>
      <c r="L39" s="1">
        <v>10</v>
      </c>
      <c r="M39" s="1" t="s">
        <v>396</v>
      </c>
      <c r="N39" s="1" t="s">
        <v>287</v>
      </c>
      <c r="O39" s="1" t="s">
        <v>260</v>
      </c>
      <c r="P39" s="1">
        <v>3</v>
      </c>
      <c r="Q39" s="1">
        <v>25</v>
      </c>
      <c r="R39" s="1" t="s">
        <v>384</v>
      </c>
      <c r="S39" s="1">
        <f t="shared" si="5"/>
        <v>15</v>
      </c>
      <c r="T39" s="1">
        <v>20</v>
      </c>
      <c r="U39" s="1" t="s">
        <v>277</v>
      </c>
    </row>
    <row r="40" spans="2:21">
      <c r="B40" s="1" t="str">
        <f t="shared" si="11"/>
        <v>Tanais Economy Extra Small</v>
      </c>
      <c r="C40" s="7">
        <v>8</v>
      </c>
      <c r="D40" s="1" t="str">
        <f t="shared" si="12"/>
        <v>17-22</v>
      </c>
      <c r="E40" s="1" t="str">
        <f t="shared" si="13"/>
        <v>¥2,95 + ¥0,0249/1 г</v>
      </c>
      <c r="F40" s="1" t="s">
        <v>270</v>
      </c>
      <c r="G40" s="1" t="str">
        <f t="shared" si="14"/>
        <v>Разрешено</v>
      </c>
      <c r="L40" s="1">
        <v>11</v>
      </c>
      <c r="M40" s="1" t="s">
        <v>394</v>
      </c>
      <c r="N40" s="1" t="s">
        <v>287</v>
      </c>
      <c r="O40" s="1" t="s">
        <v>260</v>
      </c>
      <c r="P40" s="1">
        <v>2.95</v>
      </c>
      <c r="Q40" s="1">
        <v>24.9</v>
      </c>
      <c r="R40" s="1" t="s">
        <v>384</v>
      </c>
      <c r="S40" s="1">
        <f t="shared" si="5"/>
        <v>17</v>
      </c>
      <c r="T40" s="1">
        <v>22</v>
      </c>
      <c r="U40" s="1" t="s">
        <v>388</v>
      </c>
    </row>
    <row r="41" spans="2:21">
      <c r="B41" s="1" t="str">
        <f t="shared" si="11"/>
        <v>GUOO Economy Extra Small</v>
      </c>
      <c r="C41" s="7">
        <v>9</v>
      </c>
      <c r="D41" s="1" t="str">
        <f t="shared" si="12"/>
        <v>15-20</v>
      </c>
      <c r="E41" s="1" t="str">
        <f t="shared" si="13"/>
        <v>¥3 + ¥0,025/1 г</v>
      </c>
      <c r="F41" s="1" t="s">
        <v>270</v>
      </c>
      <c r="G41" s="1" t="str">
        <f t="shared" si="14"/>
        <v>Разрешено</v>
      </c>
      <c r="L41" s="1">
        <v>12</v>
      </c>
      <c r="M41" s="1" t="s">
        <v>397</v>
      </c>
      <c r="N41" s="1" t="s">
        <v>287</v>
      </c>
      <c r="O41" s="1" t="s">
        <v>260</v>
      </c>
      <c r="P41" s="1">
        <v>3</v>
      </c>
      <c r="Q41" s="1">
        <v>25</v>
      </c>
      <c r="R41" s="1" t="s">
        <v>384</v>
      </c>
      <c r="S41" s="1">
        <f t="shared" si="5"/>
        <v>15</v>
      </c>
      <c r="T41" s="1">
        <v>20</v>
      </c>
      <c r="U41" s="1" t="s">
        <v>277</v>
      </c>
    </row>
    <row r="42" s="4" customFormat="1" spans="2:21">
      <c r="B42" s="4" t="str">
        <f t="shared" si="11"/>
        <v>IML Economy Extra Small</v>
      </c>
      <c r="C42" s="6">
        <v>10</v>
      </c>
      <c r="D42" s="4" t="str">
        <f t="shared" si="12"/>
        <v>19-24</v>
      </c>
      <c r="E42" s="4" t="str">
        <f t="shared" si="13"/>
        <v>¥2,95 + ¥0,025/1 г</v>
      </c>
      <c r="F42" s="4" t="s">
        <v>270</v>
      </c>
      <c r="G42" s="4" t="str">
        <f t="shared" si="14"/>
        <v>Разрешено</v>
      </c>
      <c r="L42" s="4">
        <v>12</v>
      </c>
      <c r="M42" s="4" t="s">
        <v>395</v>
      </c>
      <c r="N42" s="4" t="s">
        <v>287</v>
      </c>
      <c r="O42" s="4" t="s">
        <v>260</v>
      </c>
      <c r="P42" s="4">
        <v>2.95</v>
      </c>
      <c r="Q42" s="4">
        <v>25</v>
      </c>
      <c r="R42" s="4" t="s">
        <v>384</v>
      </c>
      <c r="S42" s="4">
        <f t="shared" si="5"/>
        <v>19</v>
      </c>
      <c r="T42" s="4">
        <v>24</v>
      </c>
      <c r="U42" s="4" t="s">
        <v>277</v>
      </c>
    </row>
    <row r="43" spans="2:21">
      <c r="B43" s="1" t="str">
        <f t="shared" si="11"/>
        <v>UNI Economy Extra Small</v>
      </c>
      <c r="C43" s="7">
        <v>9</v>
      </c>
      <c r="D43" s="1" t="str">
        <f t="shared" si="12"/>
        <v>20-25</v>
      </c>
      <c r="E43" s="1" t="str">
        <f t="shared" si="13"/>
        <v>$0,42 + $0,00347/1 г</v>
      </c>
      <c r="F43" s="1" t="s">
        <v>270</v>
      </c>
      <c r="G43" s="1" t="str">
        <f t="shared" si="14"/>
        <v>Разрешено</v>
      </c>
      <c r="L43" s="1">
        <v>12</v>
      </c>
      <c r="M43" s="1" t="s">
        <v>386</v>
      </c>
      <c r="N43" s="1" t="s">
        <v>287</v>
      </c>
      <c r="O43" s="1" t="s">
        <v>260</v>
      </c>
      <c r="P43" s="1">
        <v>0.42</v>
      </c>
      <c r="Q43" s="1">
        <v>3.47</v>
      </c>
      <c r="R43" s="1" t="s">
        <v>387</v>
      </c>
      <c r="S43" s="1">
        <f t="shared" si="5"/>
        <v>20</v>
      </c>
      <c r="T43" s="1">
        <v>25</v>
      </c>
      <c r="U43" s="1" t="s">
        <v>388</v>
      </c>
    </row>
    <row r="44" s="5" customFormat="1" spans="2:21">
      <c r="B44" s="5" t="str">
        <f t="shared" si="11"/>
        <v>TFS Economy Extra Small</v>
      </c>
      <c r="C44" s="8">
        <f>L44</f>
        <v>15</v>
      </c>
      <c r="D44" s="5" t="str">
        <f t="shared" si="12"/>
        <v>20-25</v>
      </c>
      <c r="E44" s="5" t="str">
        <f t="shared" si="13"/>
        <v>¥3 + ¥0,025/1 г</v>
      </c>
      <c r="F44" s="5" t="s">
        <v>270</v>
      </c>
      <c r="G44" s="5" t="str">
        <f t="shared" si="14"/>
        <v>Разрешено</v>
      </c>
      <c r="L44" s="5">
        <v>15</v>
      </c>
      <c r="M44" s="5" t="s">
        <v>398</v>
      </c>
      <c r="N44" s="5" t="s">
        <v>287</v>
      </c>
      <c r="O44" s="5" t="s">
        <v>260</v>
      </c>
      <c r="P44" s="5">
        <v>3</v>
      </c>
      <c r="Q44" s="5">
        <v>25</v>
      </c>
      <c r="R44" s="5" t="s">
        <v>384</v>
      </c>
      <c r="S44" s="5">
        <f t="shared" si="5"/>
        <v>20</v>
      </c>
      <c r="T44" s="5">
        <v>25</v>
      </c>
      <c r="U44" s="5" t="s">
        <v>388</v>
      </c>
    </row>
    <row r="46" spans="2:21">
      <c r="B46" s="1" t="str">
        <f t="shared" ref="B46:B52" si="15">M46&amp;" "&amp;N46&amp;" "&amp;O46</f>
        <v>UNI Express Budget</v>
      </c>
      <c r="C46" s="2">
        <f t="shared" ref="C46:C52" si="16">L46</f>
        <v>1</v>
      </c>
      <c r="D46" s="1" t="str">
        <f t="shared" ref="D46:D52" si="17">T46-5&amp;"-"&amp;T46</f>
        <v>5-10</v>
      </c>
      <c r="E46" s="1" t="str">
        <f t="shared" ref="E46:E52" si="18">IF(R46="CNY","¥"&amp;P46&amp;" + ¥"&amp;Q46/1000&amp;"/1 г",IF(R46="USD","$"&amp;P46&amp;" + $"&amp;Q46/1000&amp;"/1 г","Error"))</f>
        <v>$2,42 + $0,00443/1 г</v>
      </c>
      <c r="F46" s="1" t="s">
        <v>270</v>
      </c>
      <c r="G46" s="1" t="str">
        <f t="shared" ref="G46:G52" si="19">IF(OR(U46="Разрешено",U46="允许"),"Разрешено",IF(OR(U46="Запрещено",U46="禁止"),"Запрещено","Error"))</f>
        <v>Разрешено</v>
      </c>
      <c r="L46" s="1">
        <v>1</v>
      </c>
      <c r="M46" s="1" t="s">
        <v>386</v>
      </c>
      <c r="N46" s="1" t="s">
        <v>261</v>
      </c>
      <c r="O46" s="1" t="s">
        <v>294</v>
      </c>
      <c r="P46" s="1">
        <v>2.42</v>
      </c>
      <c r="Q46" s="1">
        <v>4.43</v>
      </c>
      <c r="R46" s="1" t="s">
        <v>387</v>
      </c>
      <c r="S46" s="1">
        <f t="shared" si="5"/>
        <v>5</v>
      </c>
      <c r="T46" s="1">
        <v>10</v>
      </c>
      <c r="U46" s="1" t="s">
        <v>388</v>
      </c>
    </row>
    <row r="47" spans="2:21">
      <c r="B47" s="1" t="str">
        <f t="shared" si="15"/>
        <v>RETS Express Budget</v>
      </c>
      <c r="C47" s="2">
        <f t="shared" si="16"/>
        <v>2</v>
      </c>
      <c r="D47" s="1" t="str">
        <f t="shared" si="17"/>
        <v>3-8</v>
      </c>
      <c r="E47" s="1" t="str">
        <f t="shared" si="18"/>
        <v>¥22,5 + ¥0,032/1 г</v>
      </c>
      <c r="F47" s="1" t="s">
        <v>270</v>
      </c>
      <c r="G47" s="1" t="str">
        <f t="shared" si="19"/>
        <v>Запрещено</v>
      </c>
      <c r="L47" s="1">
        <v>2</v>
      </c>
      <c r="M47" s="1" t="s">
        <v>383</v>
      </c>
      <c r="N47" s="1" t="s">
        <v>261</v>
      </c>
      <c r="O47" s="1" t="s">
        <v>294</v>
      </c>
      <c r="P47" s="1">
        <v>22.5</v>
      </c>
      <c r="Q47" s="1">
        <v>32</v>
      </c>
      <c r="R47" s="1" t="s">
        <v>384</v>
      </c>
      <c r="S47" s="1">
        <f t="shared" si="5"/>
        <v>3</v>
      </c>
      <c r="T47" s="1">
        <v>8</v>
      </c>
      <c r="U47" s="1" t="s">
        <v>385</v>
      </c>
    </row>
    <row r="48" spans="2:21">
      <c r="B48" s="1" t="str">
        <f t="shared" si="15"/>
        <v>CEL Express Budget</v>
      </c>
      <c r="C48" s="2">
        <f t="shared" si="16"/>
        <v>3</v>
      </c>
      <c r="D48" s="1" t="str">
        <f t="shared" si="17"/>
        <v>5-10</v>
      </c>
      <c r="E48" s="1" t="str">
        <f t="shared" si="18"/>
        <v>¥18 + ¥0,03295/1 г</v>
      </c>
      <c r="F48" s="1" t="s">
        <v>270</v>
      </c>
      <c r="G48" s="1" t="str">
        <f t="shared" si="19"/>
        <v>Запрещено</v>
      </c>
      <c r="L48" s="1">
        <v>3</v>
      </c>
      <c r="M48" s="1" t="s">
        <v>392</v>
      </c>
      <c r="N48" s="1" t="s">
        <v>261</v>
      </c>
      <c r="O48" s="1" t="s">
        <v>294</v>
      </c>
      <c r="P48" s="1">
        <v>18</v>
      </c>
      <c r="Q48" s="1">
        <v>32.95</v>
      </c>
      <c r="R48" s="1" t="s">
        <v>384</v>
      </c>
      <c r="S48" s="1">
        <f t="shared" si="5"/>
        <v>5</v>
      </c>
      <c r="T48" s="1">
        <v>10</v>
      </c>
      <c r="U48" s="1" t="s">
        <v>264</v>
      </c>
    </row>
    <row r="49" spans="2:21">
      <c r="B49" s="1" t="str">
        <f t="shared" si="15"/>
        <v>GBS Express Budget</v>
      </c>
      <c r="C49" s="2">
        <f t="shared" si="16"/>
        <v>4</v>
      </c>
      <c r="D49" s="1" t="str">
        <f t="shared" si="17"/>
        <v>5-10</v>
      </c>
      <c r="E49" s="1" t="str">
        <f t="shared" si="18"/>
        <v>¥21,85 + ¥0,033/1 г</v>
      </c>
      <c r="F49" s="1" t="s">
        <v>270</v>
      </c>
      <c r="G49" s="1" t="str">
        <f t="shared" si="19"/>
        <v>Запрещено</v>
      </c>
      <c r="L49" s="1">
        <v>4</v>
      </c>
      <c r="M49" s="1" t="s">
        <v>402</v>
      </c>
      <c r="N49" s="1" t="s">
        <v>261</v>
      </c>
      <c r="O49" s="1" t="s">
        <v>294</v>
      </c>
      <c r="P49" s="1">
        <v>21.85</v>
      </c>
      <c r="Q49" s="1">
        <v>33</v>
      </c>
      <c r="R49" s="1" t="s">
        <v>384</v>
      </c>
      <c r="S49" s="1">
        <f t="shared" si="5"/>
        <v>5</v>
      </c>
      <c r="T49" s="1">
        <v>10</v>
      </c>
      <c r="U49" s="1" t="s">
        <v>385</v>
      </c>
    </row>
    <row r="50" spans="2:21">
      <c r="B50" s="1" t="str">
        <f t="shared" si="15"/>
        <v>ZTO Express Budget</v>
      </c>
      <c r="C50" s="2">
        <f t="shared" si="16"/>
        <v>5</v>
      </c>
      <c r="D50" s="1" t="str">
        <f t="shared" si="17"/>
        <v>5-10</v>
      </c>
      <c r="E50" s="1" t="str">
        <f t="shared" si="18"/>
        <v>¥23 + ¥0,033/1 г</v>
      </c>
      <c r="F50" s="1" t="s">
        <v>270</v>
      </c>
      <c r="G50" s="1" t="str">
        <f t="shared" si="19"/>
        <v>Запрещено</v>
      </c>
      <c r="L50" s="1">
        <v>5</v>
      </c>
      <c r="M50" s="1" t="s">
        <v>393</v>
      </c>
      <c r="N50" s="1" t="s">
        <v>261</v>
      </c>
      <c r="O50" s="1" t="s">
        <v>294</v>
      </c>
      <c r="P50" s="1">
        <v>23</v>
      </c>
      <c r="Q50" s="1">
        <v>33</v>
      </c>
      <c r="R50" s="1" t="s">
        <v>384</v>
      </c>
      <c r="S50" s="1">
        <f t="shared" si="5"/>
        <v>5</v>
      </c>
      <c r="T50" s="1">
        <v>10</v>
      </c>
      <c r="U50" s="1" t="s">
        <v>264</v>
      </c>
    </row>
    <row r="51" spans="2:21">
      <c r="B51" s="1" t="str">
        <f t="shared" si="15"/>
        <v>IML Express Budget</v>
      </c>
      <c r="C51" s="2">
        <f t="shared" si="16"/>
        <v>5</v>
      </c>
      <c r="D51" s="1" t="str">
        <f t="shared" si="17"/>
        <v>3-8</v>
      </c>
      <c r="E51" s="1" t="str">
        <f t="shared" si="18"/>
        <v>¥22,95 + ¥0,033/1 г</v>
      </c>
      <c r="F51" s="1" t="s">
        <v>270</v>
      </c>
      <c r="G51" s="1" t="str">
        <f t="shared" si="19"/>
        <v>Разрешено</v>
      </c>
      <c r="L51" s="1">
        <v>5</v>
      </c>
      <c r="M51" s="1" t="s">
        <v>395</v>
      </c>
      <c r="N51" s="1" t="s">
        <v>261</v>
      </c>
      <c r="O51" s="1" t="s">
        <v>294</v>
      </c>
      <c r="P51" s="1">
        <v>22.95</v>
      </c>
      <c r="Q51" s="1">
        <v>33</v>
      </c>
      <c r="R51" s="1" t="s">
        <v>384</v>
      </c>
      <c r="S51" s="1">
        <f t="shared" si="5"/>
        <v>3</v>
      </c>
      <c r="T51" s="1">
        <v>8</v>
      </c>
      <c r="U51" s="1" t="s">
        <v>277</v>
      </c>
    </row>
    <row r="52" spans="2:21">
      <c r="B52" s="1" t="str">
        <f t="shared" si="15"/>
        <v>Ural Express Budget</v>
      </c>
      <c r="C52" s="2">
        <f t="shared" si="16"/>
        <v>7</v>
      </c>
      <c r="D52" s="1" t="str">
        <f t="shared" si="17"/>
        <v>5-10</v>
      </c>
      <c r="E52" s="1" t="str">
        <f t="shared" si="18"/>
        <v>¥23 + ¥0,033/1 г</v>
      </c>
      <c r="F52" s="1" t="s">
        <v>270</v>
      </c>
      <c r="G52" s="1" t="str">
        <f t="shared" si="19"/>
        <v>Запрещено</v>
      </c>
      <c r="L52" s="1">
        <v>7</v>
      </c>
      <c r="M52" s="1" t="s">
        <v>396</v>
      </c>
      <c r="N52" s="1" t="s">
        <v>261</v>
      </c>
      <c r="O52" s="1" t="s">
        <v>294</v>
      </c>
      <c r="P52" s="1">
        <v>23</v>
      </c>
      <c r="Q52" s="1">
        <v>33</v>
      </c>
      <c r="R52" s="1" t="s">
        <v>384</v>
      </c>
      <c r="S52" s="1">
        <f t="shared" si="5"/>
        <v>5</v>
      </c>
      <c r="T52" s="1">
        <v>10</v>
      </c>
      <c r="U52" s="1" t="s">
        <v>264</v>
      </c>
    </row>
    <row r="54" spans="2:21">
      <c r="B54" s="1" t="str">
        <f t="shared" ref="B54:B66" si="20">M54&amp;" "&amp;N54&amp;" "&amp;O54</f>
        <v>UNI Standard Budget</v>
      </c>
      <c r="C54" s="2">
        <f t="shared" ref="C54:C66" si="21">L54</f>
        <v>1</v>
      </c>
      <c r="D54" s="1" t="str">
        <f t="shared" ref="D54:D66" si="22">T54-5&amp;"-"&amp;T54</f>
        <v>10-15</v>
      </c>
      <c r="E54" s="1" t="str">
        <f t="shared" ref="E54:E66" si="23">IF(R54="CNY","¥"&amp;P54&amp;" + ¥"&amp;Q54/1000&amp;"/1 г",IF(R54="USD","$"&amp;P54&amp;" + $"&amp;Q54/1000&amp;"/1 г","Error"))</f>
        <v>$2,28 + $0,00335/1 г</v>
      </c>
      <c r="F54" s="1" t="s">
        <v>270</v>
      </c>
      <c r="G54" s="1" t="str">
        <f t="shared" ref="G54:G66" si="24">IF(OR(U54="Разрешено",U54="允许"),"Разрешено",IF(OR(U54="Запрещено",U54="禁止"),"Запрещено","Error"))</f>
        <v>Разрешено</v>
      </c>
      <c r="L54" s="1">
        <v>1</v>
      </c>
      <c r="M54" s="1" t="s">
        <v>386</v>
      </c>
      <c r="N54" s="1" t="s">
        <v>280</v>
      </c>
      <c r="O54" s="1" t="s">
        <v>294</v>
      </c>
      <c r="P54" s="1">
        <v>2.28</v>
      </c>
      <c r="Q54" s="1">
        <v>3.35</v>
      </c>
      <c r="R54" s="1" t="s">
        <v>387</v>
      </c>
      <c r="S54" s="1">
        <f t="shared" si="5"/>
        <v>10</v>
      </c>
      <c r="T54" s="1">
        <v>15</v>
      </c>
      <c r="U54" s="1" t="s">
        <v>388</v>
      </c>
    </row>
    <row r="55" spans="2:21">
      <c r="B55" s="1" t="str">
        <f t="shared" si="20"/>
        <v>ABT  Standard Budget</v>
      </c>
      <c r="C55" s="2">
        <f t="shared" si="21"/>
        <v>2</v>
      </c>
      <c r="D55" s="1" t="str">
        <f t="shared" si="22"/>
        <v>10-15</v>
      </c>
      <c r="E55" s="1" t="str">
        <f t="shared" si="23"/>
        <v>¥16 + ¥0,025/1 г</v>
      </c>
      <c r="F55" s="1" t="s">
        <v>270</v>
      </c>
      <c r="G55" s="1" t="str">
        <f t="shared" si="24"/>
        <v>Разрешено</v>
      </c>
      <c r="L55" s="1">
        <v>2</v>
      </c>
      <c r="M55" s="1" t="s">
        <v>389</v>
      </c>
      <c r="N55" s="1" t="s">
        <v>280</v>
      </c>
      <c r="O55" s="1" t="s">
        <v>294</v>
      </c>
      <c r="P55" s="1">
        <v>16</v>
      </c>
      <c r="Q55" s="1">
        <v>25</v>
      </c>
      <c r="R55" s="1" t="s">
        <v>384</v>
      </c>
      <c r="S55" s="1">
        <f t="shared" si="5"/>
        <v>10</v>
      </c>
      <c r="T55" s="1">
        <v>15</v>
      </c>
      <c r="U55" s="1" t="s">
        <v>277</v>
      </c>
    </row>
    <row r="56" spans="2:21">
      <c r="B56" s="1" t="str">
        <f t="shared" si="20"/>
        <v>OYX  Standard Budget</v>
      </c>
      <c r="C56" s="2">
        <f t="shared" si="21"/>
        <v>3</v>
      </c>
      <c r="D56" s="1" t="str">
        <f t="shared" si="22"/>
        <v>10-15</v>
      </c>
      <c r="E56" s="1" t="str">
        <f t="shared" si="23"/>
        <v>¥17 + ¥0,0248/1 г</v>
      </c>
      <c r="F56" s="1" t="s">
        <v>270</v>
      </c>
      <c r="G56" s="1" t="str">
        <f t="shared" si="24"/>
        <v>Разрешено</v>
      </c>
      <c r="L56" s="1">
        <v>3</v>
      </c>
      <c r="M56" s="1" t="s">
        <v>390</v>
      </c>
      <c r="N56" s="1" t="s">
        <v>280</v>
      </c>
      <c r="O56" s="1" t="s">
        <v>294</v>
      </c>
      <c r="P56" s="1">
        <v>17</v>
      </c>
      <c r="Q56" s="1">
        <v>24.8</v>
      </c>
      <c r="R56" s="1" t="s">
        <v>384</v>
      </c>
      <c r="S56" s="1">
        <f t="shared" si="5"/>
        <v>10</v>
      </c>
      <c r="T56" s="1">
        <v>15</v>
      </c>
      <c r="U56" s="1" t="s">
        <v>277</v>
      </c>
    </row>
    <row r="57" spans="2:21">
      <c r="B57" s="1" t="str">
        <f t="shared" si="20"/>
        <v>Xingyuan Standard Budget</v>
      </c>
      <c r="C57" s="2">
        <f t="shared" si="21"/>
        <v>4</v>
      </c>
      <c r="D57" s="1" t="str">
        <f t="shared" si="22"/>
        <v>10-15</v>
      </c>
      <c r="E57" s="1" t="str">
        <f t="shared" si="23"/>
        <v>¥17 + ¥0,025/1 г</v>
      </c>
      <c r="F57" s="1" t="s">
        <v>270</v>
      </c>
      <c r="G57" s="1" t="str">
        <f t="shared" si="24"/>
        <v>Разрешено</v>
      </c>
      <c r="L57" s="1">
        <v>4</v>
      </c>
      <c r="M57" s="1" t="s">
        <v>391</v>
      </c>
      <c r="N57" s="1" t="s">
        <v>280</v>
      </c>
      <c r="O57" s="1" t="s">
        <v>294</v>
      </c>
      <c r="P57" s="1">
        <v>17</v>
      </c>
      <c r="Q57" s="1">
        <v>25</v>
      </c>
      <c r="R57" s="1" t="s">
        <v>384</v>
      </c>
      <c r="S57" s="1">
        <f t="shared" si="5"/>
        <v>10</v>
      </c>
      <c r="T57" s="1">
        <v>15</v>
      </c>
      <c r="U57" s="1" t="s">
        <v>277</v>
      </c>
    </row>
    <row r="58" spans="2:21">
      <c r="B58" s="1" t="str">
        <f t="shared" si="20"/>
        <v>RETS Standard Budget</v>
      </c>
      <c r="C58" s="2">
        <f t="shared" si="21"/>
        <v>5</v>
      </c>
      <c r="D58" s="1" t="str">
        <f t="shared" si="22"/>
        <v>7-12</v>
      </c>
      <c r="E58" s="1" t="str">
        <f t="shared" si="23"/>
        <v>¥22,5 + ¥0,024/1 г</v>
      </c>
      <c r="F58" s="1" t="s">
        <v>270</v>
      </c>
      <c r="G58" s="1" t="str">
        <f t="shared" si="24"/>
        <v>Разрешено</v>
      </c>
      <c r="L58" s="1">
        <v>5</v>
      </c>
      <c r="M58" s="1" t="s">
        <v>383</v>
      </c>
      <c r="N58" s="1" t="s">
        <v>280</v>
      </c>
      <c r="O58" s="1" t="s">
        <v>294</v>
      </c>
      <c r="P58" s="1">
        <v>22.5</v>
      </c>
      <c r="Q58" s="1">
        <v>24</v>
      </c>
      <c r="R58" s="1" t="s">
        <v>384</v>
      </c>
      <c r="S58" s="1">
        <f t="shared" si="5"/>
        <v>7</v>
      </c>
      <c r="T58" s="1">
        <v>12</v>
      </c>
      <c r="U58" s="1" t="s">
        <v>388</v>
      </c>
    </row>
    <row r="59" spans="2:21">
      <c r="B59" s="1" t="str">
        <f t="shared" si="20"/>
        <v>CEL Standard Budget</v>
      </c>
      <c r="C59" s="2">
        <f t="shared" si="21"/>
        <v>6</v>
      </c>
      <c r="D59" s="1" t="str">
        <f t="shared" si="22"/>
        <v>8-13</v>
      </c>
      <c r="E59" s="1" t="str">
        <f t="shared" si="23"/>
        <v>¥18 + ¥0,02495/1 г</v>
      </c>
      <c r="F59" s="1" t="s">
        <v>270</v>
      </c>
      <c r="G59" s="1" t="str">
        <f t="shared" si="24"/>
        <v>Разрешено</v>
      </c>
      <c r="L59" s="1">
        <v>6</v>
      </c>
      <c r="M59" s="1" t="s">
        <v>392</v>
      </c>
      <c r="N59" s="1" t="s">
        <v>280</v>
      </c>
      <c r="O59" s="1" t="s">
        <v>294</v>
      </c>
      <c r="P59" s="1">
        <v>18</v>
      </c>
      <c r="Q59" s="1">
        <v>24.95</v>
      </c>
      <c r="R59" s="1" t="s">
        <v>384</v>
      </c>
      <c r="S59" s="1">
        <f t="shared" si="5"/>
        <v>8</v>
      </c>
      <c r="T59" s="1">
        <v>13</v>
      </c>
      <c r="U59" s="1" t="s">
        <v>277</v>
      </c>
    </row>
    <row r="60" spans="2:21">
      <c r="B60" s="1" t="str">
        <f t="shared" si="20"/>
        <v>GBS Standard Budget</v>
      </c>
      <c r="C60" s="2">
        <f t="shared" si="21"/>
        <v>7</v>
      </c>
      <c r="D60" s="1" t="str">
        <f t="shared" si="22"/>
        <v>9-14</v>
      </c>
      <c r="E60" s="1" t="str">
        <f t="shared" si="23"/>
        <v>¥21,85 + ¥0,025/1 г</v>
      </c>
      <c r="F60" s="1" t="s">
        <v>270</v>
      </c>
      <c r="G60" s="1" t="str">
        <f t="shared" si="24"/>
        <v>Разрешено</v>
      </c>
      <c r="L60" s="1">
        <v>7</v>
      </c>
      <c r="M60" s="1" t="s">
        <v>402</v>
      </c>
      <c r="N60" s="1" t="s">
        <v>280</v>
      </c>
      <c r="O60" s="1" t="s">
        <v>294</v>
      </c>
      <c r="P60" s="1">
        <v>21.85</v>
      </c>
      <c r="Q60" s="1">
        <v>25</v>
      </c>
      <c r="R60" s="1" t="s">
        <v>384</v>
      </c>
      <c r="S60" s="1">
        <f t="shared" si="5"/>
        <v>9</v>
      </c>
      <c r="T60" s="1">
        <v>14</v>
      </c>
      <c r="U60" s="1" t="s">
        <v>388</v>
      </c>
    </row>
    <row r="61" spans="2:21">
      <c r="B61" s="1" t="str">
        <f t="shared" si="20"/>
        <v>ATC Standard Budget</v>
      </c>
      <c r="C61" s="2">
        <f t="shared" si="21"/>
        <v>8</v>
      </c>
      <c r="D61" s="1" t="str">
        <f t="shared" si="22"/>
        <v>10-15</v>
      </c>
      <c r="E61" s="1" t="str">
        <f t="shared" si="23"/>
        <v>¥22 + ¥0,025/1 г</v>
      </c>
      <c r="F61" s="1" t="s">
        <v>270</v>
      </c>
      <c r="G61" s="1" t="str">
        <f t="shared" si="24"/>
        <v>Разрешено</v>
      </c>
      <c r="L61" s="1">
        <v>8</v>
      </c>
      <c r="M61" s="1" t="s">
        <v>399</v>
      </c>
      <c r="N61" s="1" t="s">
        <v>280</v>
      </c>
      <c r="O61" s="1" t="s">
        <v>294</v>
      </c>
      <c r="P61" s="1">
        <v>22</v>
      </c>
      <c r="Q61" s="1">
        <v>25</v>
      </c>
      <c r="R61" s="1" t="s">
        <v>384</v>
      </c>
      <c r="S61" s="1">
        <f t="shared" si="5"/>
        <v>10</v>
      </c>
      <c r="T61" s="1">
        <v>15</v>
      </c>
      <c r="U61" s="1" t="s">
        <v>388</v>
      </c>
    </row>
    <row r="62" spans="2:21">
      <c r="B62" s="1" t="str">
        <f t="shared" si="20"/>
        <v>ZTO Standard Budget</v>
      </c>
      <c r="C62" s="2">
        <f t="shared" si="21"/>
        <v>9</v>
      </c>
      <c r="D62" s="1" t="str">
        <f t="shared" si="22"/>
        <v>10-15</v>
      </c>
      <c r="E62" s="1" t="str">
        <f t="shared" si="23"/>
        <v>¥23 + ¥0,025/1 г</v>
      </c>
      <c r="F62" s="1" t="s">
        <v>270</v>
      </c>
      <c r="G62" s="1" t="str">
        <f t="shared" si="24"/>
        <v>Разрешено</v>
      </c>
      <c r="L62" s="1">
        <v>9</v>
      </c>
      <c r="M62" s="1" t="s">
        <v>393</v>
      </c>
      <c r="N62" s="1" t="s">
        <v>280</v>
      </c>
      <c r="O62" s="1" t="s">
        <v>294</v>
      </c>
      <c r="P62" s="1">
        <v>23</v>
      </c>
      <c r="Q62" s="1">
        <v>25</v>
      </c>
      <c r="R62" s="1" t="s">
        <v>384</v>
      </c>
      <c r="S62" s="1">
        <f t="shared" si="5"/>
        <v>10</v>
      </c>
      <c r="T62" s="1">
        <v>15</v>
      </c>
      <c r="U62" s="1" t="s">
        <v>277</v>
      </c>
    </row>
    <row r="63" spans="2:21">
      <c r="B63" s="1" t="str">
        <f t="shared" si="20"/>
        <v>ETS Standard Budget</v>
      </c>
      <c r="C63" s="2">
        <f t="shared" si="21"/>
        <v>9</v>
      </c>
      <c r="D63" s="1" t="str">
        <f t="shared" si="22"/>
        <v>10-15</v>
      </c>
      <c r="E63" s="1" t="str">
        <f t="shared" si="23"/>
        <v>$3,19 + $0,00347/1 г</v>
      </c>
      <c r="F63" s="1" t="s">
        <v>270</v>
      </c>
      <c r="G63" s="1" t="str">
        <f t="shared" si="24"/>
        <v>Разрешено</v>
      </c>
      <c r="L63" s="1">
        <v>9</v>
      </c>
      <c r="M63" s="1" t="s">
        <v>403</v>
      </c>
      <c r="N63" s="1" t="s">
        <v>280</v>
      </c>
      <c r="O63" s="1" t="s">
        <v>294</v>
      </c>
      <c r="P63" s="1">
        <v>3.19</v>
      </c>
      <c r="Q63" s="1">
        <v>3.47</v>
      </c>
      <c r="R63" s="1" t="s">
        <v>387</v>
      </c>
      <c r="S63" s="1">
        <f t="shared" si="5"/>
        <v>10</v>
      </c>
      <c r="T63" s="1">
        <v>15</v>
      </c>
      <c r="U63" s="1" t="s">
        <v>388</v>
      </c>
    </row>
    <row r="64" spans="2:21">
      <c r="B64" s="1" t="str">
        <f t="shared" si="20"/>
        <v>Tanais Standard Budget</v>
      </c>
      <c r="C64" s="2">
        <f t="shared" si="21"/>
        <v>11</v>
      </c>
      <c r="D64" s="1" t="str">
        <f t="shared" si="22"/>
        <v>10-15</v>
      </c>
      <c r="E64" s="1" t="str">
        <f t="shared" si="23"/>
        <v>¥22,8 + ¥0,0249/1 г</v>
      </c>
      <c r="F64" s="1" t="s">
        <v>270</v>
      </c>
      <c r="G64" s="1" t="str">
        <f t="shared" si="24"/>
        <v>Разрешено</v>
      </c>
      <c r="L64" s="1">
        <v>11</v>
      </c>
      <c r="M64" s="1" t="s">
        <v>394</v>
      </c>
      <c r="N64" s="1" t="s">
        <v>280</v>
      </c>
      <c r="O64" s="1" t="s">
        <v>294</v>
      </c>
      <c r="P64" s="1">
        <v>22.8</v>
      </c>
      <c r="Q64" s="1">
        <v>24.9</v>
      </c>
      <c r="R64" s="1" t="s">
        <v>384</v>
      </c>
      <c r="S64" s="1">
        <f t="shared" si="5"/>
        <v>10</v>
      </c>
      <c r="T64" s="1">
        <v>15</v>
      </c>
      <c r="U64" s="1" t="s">
        <v>388</v>
      </c>
    </row>
    <row r="65" spans="2:21">
      <c r="B65" s="1" t="str">
        <f t="shared" si="20"/>
        <v>Ural Standard Budget</v>
      </c>
      <c r="C65" s="2">
        <f t="shared" si="21"/>
        <v>12</v>
      </c>
      <c r="D65" s="1" t="str">
        <f t="shared" si="22"/>
        <v>10-15</v>
      </c>
      <c r="E65" s="1" t="str">
        <f t="shared" si="23"/>
        <v>¥23 + ¥0,025/1 г</v>
      </c>
      <c r="F65" s="1" t="s">
        <v>270</v>
      </c>
      <c r="G65" s="1" t="str">
        <f t="shared" si="24"/>
        <v>Разрешено</v>
      </c>
      <c r="L65" s="1">
        <v>12</v>
      </c>
      <c r="M65" s="1" t="s">
        <v>396</v>
      </c>
      <c r="N65" s="1" t="s">
        <v>280</v>
      </c>
      <c r="O65" s="1" t="s">
        <v>294</v>
      </c>
      <c r="P65" s="1">
        <v>23</v>
      </c>
      <c r="Q65" s="1">
        <v>25</v>
      </c>
      <c r="R65" s="1" t="s">
        <v>384</v>
      </c>
      <c r="S65" s="1">
        <f t="shared" si="5"/>
        <v>10</v>
      </c>
      <c r="T65" s="1">
        <v>15</v>
      </c>
      <c r="U65" s="1" t="s">
        <v>277</v>
      </c>
    </row>
    <row r="66" spans="2:21">
      <c r="B66" s="1" t="str">
        <f t="shared" si="20"/>
        <v>IML Standard Budget</v>
      </c>
      <c r="C66" s="2">
        <f t="shared" si="21"/>
        <v>13</v>
      </c>
      <c r="D66" s="1" t="str">
        <f t="shared" si="22"/>
        <v>9-14</v>
      </c>
      <c r="E66" s="1" t="str">
        <f t="shared" si="23"/>
        <v>¥22,95 + ¥0,025/1 г</v>
      </c>
      <c r="F66" s="1" t="s">
        <v>270</v>
      </c>
      <c r="G66" s="1" t="str">
        <f t="shared" si="24"/>
        <v>Разрешено</v>
      </c>
      <c r="L66" s="1">
        <v>13</v>
      </c>
      <c r="M66" s="1" t="s">
        <v>395</v>
      </c>
      <c r="N66" s="1" t="s">
        <v>280</v>
      </c>
      <c r="O66" s="1" t="s">
        <v>294</v>
      </c>
      <c r="P66" s="1">
        <v>22.95</v>
      </c>
      <c r="Q66" s="1">
        <v>25</v>
      </c>
      <c r="R66" s="1" t="s">
        <v>384</v>
      </c>
      <c r="S66" s="1">
        <f t="shared" si="5"/>
        <v>9</v>
      </c>
      <c r="T66" s="1">
        <v>14</v>
      </c>
      <c r="U66" s="1" t="s">
        <v>277</v>
      </c>
    </row>
    <row r="68" spans="2:21">
      <c r="B68" s="1" t="str">
        <f t="shared" ref="B68:B77" si="25">M68&amp;" "&amp;N68&amp;" "&amp;O68</f>
        <v>UNI Economy Budget</v>
      </c>
      <c r="C68" s="2">
        <f t="shared" ref="C68:C77" si="26">L68</f>
        <v>1</v>
      </c>
      <c r="D68" s="1" t="str">
        <f t="shared" ref="D68:D77" si="27">T68-5&amp;"-"&amp;T68</f>
        <v>20-25</v>
      </c>
      <c r="E68" s="1" t="str">
        <f t="shared" ref="E68:E77" si="28">IF(R68="CNY","¥"&amp;P68&amp;" + ¥"&amp;Q68/1000&amp;"/1 г",IF(R68="USD","$"&amp;P68&amp;" + $"&amp;Q68/1000&amp;"/1 г","Error"))</f>
        <v>$3,01 + $0,00222/1 г</v>
      </c>
      <c r="F68" s="1" t="s">
        <v>270</v>
      </c>
      <c r="G68" s="1" t="str">
        <f t="shared" ref="G68:G77" si="29">IF(OR(U68="Разрешено",U68="允许"),"Разрешено",IF(OR(U68="Запрещено",U68="禁止"),"Запрещено","Error"))</f>
        <v>Разрешено</v>
      </c>
      <c r="L68" s="1">
        <v>1</v>
      </c>
      <c r="M68" s="1" t="s">
        <v>386</v>
      </c>
      <c r="N68" s="1" t="s">
        <v>287</v>
      </c>
      <c r="O68" s="1" t="s">
        <v>294</v>
      </c>
      <c r="P68" s="1">
        <v>3.01</v>
      </c>
      <c r="Q68" s="1">
        <v>2.22</v>
      </c>
      <c r="R68" s="1" t="s">
        <v>387</v>
      </c>
      <c r="S68" s="1">
        <f t="shared" ref="S68:S131" si="30">T68-5</f>
        <v>20</v>
      </c>
      <c r="T68" s="1">
        <v>25</v>
      </c>
      <c r="U68" s="1" t="s">
        <v>388</v>
      </c>
    </row>
    <row r="69" spans="2:21">
      <c r="B69" s="1" t="str">
        <f t="shared" si="25"/>
        <v>RETS Economy Budget</v>
      </c>
      <c r="C69" s="2">
        <f t="shared" si="26"/>
        <v>2</v>
      </c>
      <c r="D69" s="1" t="str">
        <f t="shared" si="27"/>
        <v>13-18</v>
      </c>
      <c r="E69" s="1" t="str">
        <f t="shared" si="28"/>
        <v>¥22,5 + ¥0,0165/1 г</v>
      </c>
      <c r="F69" s="1" t="s">
        <v>270</v>
      </c>
      <c r="G69" s="1" t="str">
        <f t="shared" si="29"/>
        <v>Разрешено</v>
      </c>
      <c r="L69" s="1">
        <v>2</v>
      </c>
      <c r="M69" s="1" t="s">
        <v>383</v>
      </c>
      <c r="N69" s="1" t="s">
        <v>287</v>
      </c>
      <c r="O69" s="1" t="s">
        <v>294</v>
      </c>
      <c r="P69" s="1">
        <v>22.5</v>
      </c>
      <c r="Q69" s="1">
        <v>16.5</v>
      </c>
      <c r="R69" s="1" t="s">
        <v>384</v>
      </c>
      <c r="S69" s="1">
        <f t="shared" si="30"/>
        <v>13</v>
      </c>
      <c r="T69" s="1">
        <v>18</v>
      </c>
      <c r="U69" s="1" t="s">
        <v>388</v>
      </c>
    </row>
    <row r="70" spans="2:21">
      <c r="B70" s="1" t="str">
        <f t="shared" si="25"/>
        <v>GBS Economy Budget</v>
      </c>
      <c r="C70" s="2">
        <f t="shared" si="26"/>
        <v>3</v>
      </c>
      <c r="D70" s="1" t="str">
        <f t="shared" si="27"/>
        <v>15-20</v>
      </c>
      <c r="E70" s="1" t="str">
        <f t="shared" si="28"/>
        <v>¥22,4 + ¥0,017/1 г</v>
      </c>
      <c r="F70" s="1" t="s">
        <v>270</v>
      </c>
      <c r="G70" s="1" t="str">
        <f t="shared" si="29"/>
        <v>Разрешено</v>
      </c>
      <c r="L70" s="1">
        <v>3</v>
      </c>
      <c r="M70" s="1" t="s">
        <v>402</v>
      </c>
      <c r="N70" s="1" t="s">
        <v>287</v>
      </c>
      <c r="O70" s="1" t="s">
        <v>294</v>
      </c>
      <c r="P70" s="1">
        <v>22.4</v>
      </c>
      <c r="Q70" s="1">
        <v>17</v>
      </c>
      <c r="R70" s="1" t="s">
        <v>384</v>
      </c>
      <c r="S70" s="1">
        <f t="shared" si="30"/>
        <v>15</v>
      </c>
      <c r="T70" s="1">
        <v>20</v>
      </c>
      <c r="U70" s="1" t="s">
        <v>388</v>
      </c>
    </row>
    <row r="71" spans="2:21">
      <c r="B71" s="1" t="str">
        <f t="shared" si="25"/>
        <v>ATC Economy Budget</v>
      </c>
      <c r="C71" s="2">
        <f t="shared" si="26"/>
        <v>4</v>
      </c>
      <c r="D71" s="1" t="str">
        <f t="shared" si="27"/>
        <v>20-25</v>
      </c>
      <c r="E71" s="1" t="str">
        <f t="shared" si="28"/>
        <v>¥22,7 + ¥0,0168/1 г</v>
      </c>
      <c r="F71" s="1" t="s">
        <v>270</v>
      </c>
      <c r="G71" s="1" t="str">
        <f t="shared" si="29"/>
        <v>Разрешено</v>
      </c>
      <c r="L71" s="1">
        <v>4</v>
      </c>
      <c r="M71" s="1" t="s">
        <v>399</v>
      </c>
      <c r="N71" s="1" t="s">
        <v>287</v>
      </c>
      <c r="O71" s="1" t="s">
        <v>294</v>
      </c>
      <c r="P71" s="1">
        <v>22.7</v>
      </c>
      <c r="Q71" s="1">
        <v>16.8</v>
      </c>
      <c r="R71" s="1" t="s">
        <v>384</v>
      </c>
      <c r="S71" s="1">
        <f t="shared" si="30"/>
        <v>20</v>
      </c>
      <c r="T71" s="1">
        <v>25</v>
      </c>
      <c r="U71" s="1" t="s">
        <v>388</v>
      </c>
    </row>
    <row r="72" spans="2:21">
      <c r="B72" s="1" t="str">
        <f t="shared" si="25"/>
        <v>CEL Economy Budget</v>
      </c>
      <c r="C72" s="2">
        <f t="shared" si="26"/>
        <v>5</v>
      </c>
      <c r="D72" s="1" t="str">
        <f t="shared" si="27"/>
        <v>16-21</v>
      </c>
      <c r="E72" s="1" t="str">
        <f t="shared" si="28"/>
        <v>¥23 + ¥0,0165/1 г</v>
      </c>
      <c r="F72" s="1" t="s">
        <v>270</v>
      </c>
      <c r="G72" s="1" t="str">
        <f t="shared" si="29"/>
        <v>Разрешено</v>
      </c>
      <c r="L72" s="1">
        <v>5</v>
      </c>
      <c r="M72" s="1" t="s">
        <v>392</v>
      </c>
      <c r="N72" s="1" t="s">
        <v>287</v>
      </c>
      <c r="O72" s="1" t="s">
        <v>294</v>
      </c>
      <c r="P72" s="1">
        <v>23</v>
      </c>
      <c r="Q72" s="1">
        <v>16.5</v>
      </c>
      <c r="R72" s="1" t="s">
        <v>384</v>
      </c>
      <c r="S72" s="1">
        <f t="shared" si="30"/>
        <v>16</v>
      </c>
      <c r="T72" s="1">
        <v>21</v>
      </c>
      <c r="U72" s="1" t="s">
        <v>277</v>
      </c>
    </row>
    <row r="73" spans="2:21">
      <c r="B73" s="1" t="str">
        <f t="shared" si="25"/>
        <v>ZTO Economy Budget</v>
      </c>
      <c r="C73" s="2">
        <f t="shared" si="26"/>
        <v>6</v>
      </c>
      <c r="D73" s="1" t="str">
        <f t="shared" si="27"/>
        <v>20-25</v>
      </c>
      <c r="E73" s="1" t="str">
        <f t="shared" si="28"/>
        <v>¥23 + ¥0,017/1 г</v>
      </c>
      <c r="F73" s="1" t="s">
        <v>270</v>
      </c>
      <c r="G73" s="1" t="str">
        <f t="shared" si="29"/>
        <v>Разрешено</v>
      </c>
      <c r="L73" s="1">
        <v>6</v>
      </c>
      <c r="M73" s="1" t="s">
        <v>393</v>
      </c>
      <c r="N73" s="1" t="s">
        <v>287</v>
      </c>
      <c r="O73" s="1" t="s">
        <v>294</v>
      </c>
      <c r="P73" s="1">
        <v>23</v>
      </c>
      <c r="Q73" s="1">
        <v>17</v>
      </c>
      <c r="R73" s="1" t="s">
        <v>384</v>
      </c>
      <c r="S73" s="1">
        <f t="shared" si="30"/>
        <v>20</v>
      </c>
      <c r="T73" s="1">
        <v>25</v>
      </c>
      <c r="U73" s="1" t="s">
        <v>388</v>
      </c>
    </row>
    <row r="74" spans="2:21">
      <c r="B74" s="1" t="str">
        <f t="shared" si="25"/>
        <v>Tanais Economy Budget</v>
      </c>
      <c r="C74" s="2">
        <f t="shared" si="26"/>
        <v>7</v>
      </c>
      <c r="D74" s="1" t="str">
        <f t="shared" si="27"/>
        <v>17-22</v>
      </c>
      <c r="E74" s="1" t="str">
        <f t="shared" si="28"/>
        <v>¥22,8 + ¥0,0169/1 г</v>
      </c>
      <c r="F74" s="1" t="s">
        <v>270</v>
      </c>
      <c r="G74" s="1" t="str">
        <f t="shared" si="29"/>
        <v>Разрешено</v>
      </c>
      <c r="L74" s="1">
        <v>7</v>
      </c>
      <c r="M74" s="1" t="s">
        <v>394</v>
      </c>
      <c r="N74" s="1" t="s">
        <v>287</v>
      </c>
      <c r="O74" s="1" t="s">
        <v>294</v>
      </c>
      <c r="P74" s="1">
        <v>22.8</v>
      </c>
      <c r="Q74" s="1">
        <v>16.9</v>
      </c>
      <c r="R74" s="1" t="s">
        <v>384</v>
      </c>
      <c r="S74" s="1">
        <f t="shared" si="30"/>
        <v>17</v>
      </c>
      <c r="T74" s="1">
        <v>22</v>
      </c>
      <c r="U74" s="1" t="s">
        <v>388</v>
      </c>
    </row>
    <row r="75" spans="2:21">
      <c r="B75" s="1" t="str">
        <f t="shared" si="25"/>
        <v>IML Economy Budget</v>
      </c>
      <c r="C75" s="2">
        <f t="shared" si="26"/>
        <v>8</v>
      </c>
      <c r="D75" s="1" t="str">
        <f t="shared" si="27"/>
        <v>19-24</v>
      </c>
      <c r="E75" s="1" t="str">
        <f t="shared" si="28"/>
        <v>¥22,95 + ¥0,017/1 г</v>
      </c>
      <c r="F75" s="1" t="s">
        <v>270</v>
      </c>
      <c r="G75" s="1" t="str">
        <f t="shared" si="29"/>
        <v>Разрешено</v>
      </c>
      <c r="L75" s="1">
        <v>8</v>
      </c>
      <c r="M75" s="1" t="s">
        <v>395</v>
      </c>
      <c r="N75" s="1" t="s">
        <v>287</v>
      </c>
      <c r="O75" s="1" t="s">
        <v>294</v>
      </c>
      <c r="P75" s="1">
        <v>22.95</v>
      </c>
      <c r="Q75" s="1">
        <v>17</v>
      </c>
      <c r="R75" s="1" t="s">
        <v>384</v>
      </c>
      <c r="S75" s="1">
        <f t="shared" si="30"/>
        <v>19</v>
      </c>
      <c r="T75" s="1">
        <v>24</v>
      </c>
      <c r="U75" s="1" t="s">
        <v>277</v>
      </c>
    </row>
    <row r="76" spans="2:21">
      <c r="B76" s="1" t="str">
        <f t="shared" si="25"/>
        <v>GUOO Economy Budget</v>
      </c>
      <c r="C76" s="2">
        <f t="shared" si="26"/>
        <v>9</v>
      </c>
      <c r="D76" s="1" t="str">
        <f t="shared" si="27"/>
        <v>20-25</v>
      </c>
      <c r="E76" s="1" t="str">
        <f t="shared" si="28"/>
        <v>¥23 + ¥0,017/1 г</v>
      </c>
      <c r="F76" s="1" t="s">
        <v>270</v>
      </c>
      <c r="G76" s="1" t="str">
        <f t="shared" si="29"/>
        <v>Разрешено</v>
      </c>
      <c r="L76" s="1">
        <v>9</v>
      </c>
      <c r="M76" s="1" t="s">
        <v>397</v>
      </c>
      <c r="N76" s="1" t="s">
        <v>287</v>
      </c>
      <c r="O76" s="1" t="s">
        <v>294</v>
      </c>
      <c r="P76" s="1">
        <v>23</v>
      </c>
      <c r="Q76" s="1">
        <v>17</v>
      </c>
      <c r="R76" s="1" t="s">
        <v>384</v>
      </c>
      <c r="S76" s="1">
        <f t="shared" si="30"/>
        <v>20</v>
      </c>
      <c r="T76" s="1">
        <v>25</v>
      </c>
      <c r="U76" s="1" t="s">
        <v>277</v>
      </c>
    </row>
    <row r="77" s="5" customFormat="1" spans="2:21">
      <c r="B77" s="5" t="str">
        <f t="shared" si="25"/>
        <v>TFS Economy Budget</v>
      </c>
      <c r="C77" s="8">
        <f t="shared" si="26"/>
        <v>10</v>
      </c>
      <c r="D77" s="5" t="str">
        <f t="shared" si="27"/>
        <v>10-15</v>
      </c>
      <c r="E77" s="5" t="str">
        <f t="shared" si="28"/>
        <v>¥23 + ¥0,017/1 г</v>
      </c>
      <c r="F77" s="5" t="s">
        <v>270</v>
      </c>
      <c r="G77" s="5" t="str">
        <f t="shared" si="29"/>
        <v>Разрешено</v>
      </c>
      <c r="L77" s="5">
        <v>10</v>
      </c>
      <c r="M77" s="5" t="s">
        <v>398</v>
      </c>
      <c r="N77" s="5" t="s">
        <v>287</v>
      </c>
      <c r="O77" s="5" t="s">
        <v>294</v>
      </c>
      <c r="P77" s="5">
        <v>23</v>
      </c>
      <c r="Q77" s="5">
        <v>17</v>
      </c>
      <c r="R77" s="5" t="s">
        <v>384</v>
      </c>
      <c r="S77" s="5">
        <f t="shared" si="30"/>
        <v>10</v>
      </c>
      <c r="T77" s="5">
        <v>15</v>
      </c>
      <c r="U77" s="5" t="s">
        <v>388</v>
      </c>
    </row>
    <row r="79" spans="2:21">
      <c r="B79" s="1" t="str">
        <f t="shared" ref="B79:B89" si="31">M79&amp;" "&amp;N79&amp;" "&amp;O79</f>
        <v>RETS Express Small</v>
      </c>
      <c r="C79" s="2">
        <f t="shared" ref="C79:C89" si="32">L79</f>
        <v>1</v>
      </c>
      <c r="D79" s="1" t="str">
        <f t="shared" ref="D79:D89" si="33">T79-5&amp;"-"&amp;T79</f>
        <v>3-8</v>
      </c>
      <c r="E79" s="1" t="str">
        <f t="shared" ref="E79:E89" si="34">IF(R79="CNY","¥"&amp;P79&amp;" + ¥"&amp;Q79/1000&amp;"/1 г",IF(R79="USD","$"&amp;P79&amp;" + $"&amp;Q79/1000&amp;"/1 г","Error"))</f>
        <v>¥15 + ¥0,042/1 г</v>
      </c>
      <c r="F79" s="1" t="str">
        <f t="shared" ref="F79:F89" si="35">IF(R79="CNY","¥"&amp;P79+3.5&amp;" + ¥"&amp;Q79/1000&amp;"/1 г",IF(R79="USD","$"&amp;P79+0.49&amp;" + $"&amp;Q79/1000&amp;"/1 г","Error"))</f>
        <v>¥18,5 + ¥0,042/1 г</v>
      </c>
      <c r="G79" s="1" t="str">
        <f t="shared" ref="G79:G89" si="36">IF(OR(U79="Разрешено",U79="允许"),"Разрешено",IF(OR(U79="Запрещено",U79="禁止"),"Запрещено","Error"))</f>
        <v>Запрещено</v>
      </c>
      <c r="L79" s="1">
        <v>1</v>
      </c>
      <c r="M79" s="1" t="s">
        <v>383</v>
      </c>
      <c r="N79" s="1" t="s">
        <v>261</v>
      </c>
      <c r="O79" s="1" t="s">
        <v>309</v>
      </c>
      <c r="P79" s="1">
        <v>15</v>
      </c>
      <c r="Q79" s="1">
        <v>42</v>
      </c>
      <c r="R79" s="1" t="s">
        <v>384</v>
      </c>
      <c r="S79" s="1">
        <f t="shared" si="30"/>
        <v>3</v>
      </c>
      <c r="T79" s="1">
        <v>8</v>
      </c>
      <c r="U79" s="1" t="s">
        <v>385</v>
      </c>
    </row>
    <row r="80" spans="2:21">
      <c r="B80" s="1" t="str">
        <f t="shared" si="31"/>
        <v>UNI Express Small</v>
      </c>
      <c r="C80" s="2">
        <f t="shared" si="32"/>
        <v>2</v>
      </c>
      <c r="D80" s="1" t="str">
        <f t="shared" si="33"/>
        <v>5-10</v>
      </c>
      <c r="E80" s="1" t="str">
        <f t="shared" si="34"/>
        <v>$2,15 + $0,0055/1 г</v>
      </c>
      <c r="F80" s="1" t="str">
        <f t="shared" si="35"/>
        <v>$2,64 + $0,0055/1 г</v>
      </c>
      <c r="G80" s="1" t="str">
        <f t="shared" si="36"/>
        <v>Разрешено</v>
      </c>
      <c r="L80" s="1">
        <v>2</v>
      </c>
      <c r="M80" s="1" t="s">
        <v>386</v>
      </c>
      <c r="N80" s="1" t="s">
        <v>261</v>
      </c>
      <c r="O80" s="1" t="s">
        <v>309</v>
      </c>
      <c r="P80" s="1">
        <v>2.15</v>
      </c>
      <c r="Q80" s="1">
        <v>5.5</v>
      </c>
      <c r="R80" s="1" t="s">
        <v>387</v>
      </c>
      <c r="S80" s="1">
        <f t="shared" si="30"/>
        <v>5</v>
      </c>
      <c r="T80" s="1">
        <v>10</v>
      </c>
      <c r="U80" s="1" t="s">
        <v>388</v>
      </c>
    </row>
    <row r="81" spans="2:21">
      <c r="B81" s="1" t="str">
        <f t="shared" si="31"/>
        <v>CEL Express Small</v>
      </c>
      <c r="C81" s="2">
        <f t="shared" si="32"/>
        <v>3</v>
      </c>
      <c r="D81" s="1" t="str">
        <f t="shared" si="33"/>
        <v>5-10</v>
      </c>
      <c r="E81" s="1" t="str">
        <f t="shared" si="34"/>
        <v>¥14,9 + ¥0,04/1 г</v>
      </c>
      <c r="F81" s="1" t="str">
        <f t="shared" si="35"/>
        <v>¥18,4 + ¥0,04/1 г</v>
      </c>
      <c r="G81" s="1" t="str">
        <f t="shared" si="36"/>
        <v>Запрещено</v>
      </c>
      <c r="L81" s="1">
        <v>3</v>
      </c>
      <c r="M81" s="1" t="s">
        <v>392</v>
      </c>
      <c r="N81" s="1" t="s">
        <v>261</v>
      </c>
      <c r="O81" s="1" t="s">
        <v>309</v>
      </c>
      <c r="P81" s="1">
        <v>14.9</v>
      </c>
      <c r="Q81" s="1">
        <v>40</v>
      </c>
      <c r="R81" s="1" t="s">
        <v>384</v>
      </c>
      <c r="S81" s="1">
        <f t="shared" si="30"/>
        <v>5</v>
      </c>
      <c r="T81" s="1">
        <v>10</v>
      </c>
      <c r="U81" s="1" t="s">
        <v>264</v>
      </c>
    </row>
    <row r="82" spans="2:21">
      <c r="B82" s="1" t="str">
        <f t="shared" si="31"/>
        <v>GBS Express Small</v>
      </c>
      <c r="C82" s="2">
        <f t="shared" si="32"/>
        <v>4</v>
      </c>
      <c r="D82" s="1" t="str">
        <f t="shared" si="33"/>
        <v>5-10</v>
      </c>
      <c r="E82" s="1" t="str">
        <f t="shared" si="34"/>
        <v>¥16 + ¥0,04275/1 г</v>
      </c>
      <c r="F82" s="1" t="str">
        <f t="shared" si="35"/>
        <v>¥19,5 + ¥0,04275/1 г</v>
      </c>
      <c r="G82" s="1" t="str">
        <f t="shared" si="36"/>
        <v>Запрещено</v>
      </c>
      <c r="L82" s="1">
        <v>4</v>
      </c>
      <c r="M82" s="1" t="s">
        <v>402</v>
      </c>
      <c r="N82" s="1" t="s">
        <v>261</v>
      </c>
      <c r="O82" s="1" t="s">
        <v>309</v>
      </c>
      <c r="P82" s="1">
        <v>16</v>
      </c>
      <c r="Q82" s="1">
        <v>42.75</v>
      </c>
      <c r="R82" s="1" t="s">
        <v>384</v>
      </c>
      <c r="S82" s="1">
        <f t="shared" si="30"/>
        <v>5</v>
      </c>
      <c r="T82" s="1">
        <v>10</v>
      </c>
      <c r="U82" s="1" t="s">
        <v>385</v>
      </c>
    </row>
    <row r="83" spans="2:21">
      <c r="B83" s="1" t="str">
        <f t="shared" si="31"/>
        <v>7D Express Small</v>
      </c>
      <c r="C83" s="2">
        <f t="shared" si="32"/>
        <v>5</v>
      </c>
      <c r="D83" s="1" t="str">
        <f t="shared" si="33"/>
        <v>4-9</v>
      </c>
      <c r="E83" s="1" t="str">
        <f t="shared" si="34"/>
        <v>¥16 + ¥0,041/1 г</v>
      </c>
      <c r="F83" s="1" t="str">
        <f t="shared" si="35"/>
        <v>¥19,5 + ¥0,041/1 г</v>
      </c>
      <c r="G83" s="1" t="str">
        <f t="shared" si="36"/>
        <v>Разрешено</v>
      </c>
      <c r="L83" s="1">
        <v>5</v>
      </c>
      <c r="M83" s="1" t="s">
        <v>404</v>
      </c>
      <c r="N83" s="1" t="s">
        <v>261</v>
      </c>
      <c r="O83" s="1" t="s">
        <v>309</v>
      </c>
      <c r="P83" s="1">
        <v>16</v>
      </c>
      <c r="Q83" s="1">
        <v>41</v>
      </c>
      <c r="R83" s="1" t="s">
        <v>384</v>
      </c>
      <c r="S83" s="1">
        <f t="shared" si="30"/>
        <v>4</v>
      </c>
      <c r="T83" s="1">
        <v>9</v>
      </c>
      <c r="U83" s="1" t="s">
        <v>277</v>
      </c>
    </row>
    <row r="84" spans="2:21">
      <c r="B84" s="1" t="str">
        <f t="shared" si="31"/>
        <v>IML Express Small</v>
      </c>
      <c r="C84" s="2">
        <f t="shared" si="32"/>
        <v>6</v>
      </c>
      <c r="D84" s="1" t="str">
        <f t="shared" si="33"/>
        <v>3-8</v>
      </c>
      <c r="E84" s="1" t="str">
        <f t="shared" si="34"/>
        <v>¥15,95 + ¥0,045/1 г</v>
      </c>
      <c r="F84" s="1" t="str">
        <f t="shared" si="35"/>
        <v>¥19,45 + ¥0,045/1 г</v>
      </c>
      <c r="G84" s="1" t="str">
        <f t="shared" si="36"/>
        <v>Разрешено</v>
      </c>
      <c r="L84" s="1">
        <v>6</v>
      </c>
      <c r="M84" s="1" t="s">
        <v>395</v>
      </c>
      <c r="N84" s="1" t="s">
        <v>261</v>
      </c>
      <c r="O84" s="1" t="s">
        <v>309</v>
      </c>
      <c r="P84" s="1">
        <v>15.95</v>
      </c>
      <c r="Q84" s="1">
        <v>45</v>
      </c>
      <c r="R84" s="1" t="s">
        <v>384</v>
      </c>
      <c r="S84" s="1">
        <f t="shared" si="30"/>
        <v>3</v>
      </c>
      <c r="T84" s="1">
        <v>8</v>
      </c>
      <c r="U84" s="1" t="s">
        <v>277</v>
      </c>
    </row>
    <row r="85" spans="2:21">
      <c r="B85" s="1" t="str">
        <f t="shared" si="31"/>
        <v>Tanais Express Small</v>
      </c>
      <c r="C85" s="2">
        <f t="shared" si="32"/>
        <v>6</v>
      </c>
      <c r="D85" s="1" t="str">
        <f t="shared" si="33"/>
        <v>3-8</v>
      </c>
      <c r="E85" s="1" t="str">
        <f t="shared" si="34"/>
        <v>¥15,9 + ¥0,0448/1 г</v>
      </c>
      <c r="F85" s="1" t="str">
        <f t="shared" si="35"/>
        <v>¥19,4 + ¥0,0448/1 г</v>
      </c>
      <c r="G85" s="1" t="str">
        <f t="shared" si="36"/>
        <v>Запрещено</v>
      </c>
      <c r="L85" s="1">
        <v>6</v>
      </c>
      <c r="M85" s="1" t="s">
        <v>394</v>
      </c>
      <c r="N85" s="1" t="s">
        <v>261</v>
      </c>
      <c r="O85" s="1" t="s">
        <v>309</v>
      </c>
      <c r="P85" s="1">
        <v>15.9</v>
      </c>
      <c r="Q85" s="1">
        <v>44.8</v>
      </c>
      <c r="R85" s="1" t="s">
        <v>384</v>
      </c>
      <c r="S85" s="1">
        <f t="shared" si="30"/>
        <v>3</v>
      </c>
      <c r="T85" s="1">
        <v>8</v>
      </c>
      <c r="U85" s="1" t="s">
        <v>385</v>
      </c>
    </row>
    <row r="86" spans="2:21">
      <c r="B86" s="1" t="str">
        <f t="shared" si="31"/>
        <v>ZTO Express Small</v>
      </c>
      <c r="C86" s="2">
        <f t="shared" si="32"/>
        <v>8</v>
      </c>
      <c r="D86" s="1" t="str">
        <f t="shared" si="33"/>
        <v>5-10</v>
      </c>
      <c r="E86" s="1" t="str">
        <f t="shared" si="34"/>
        <v>¥16 + ¥0,045/1 г</v>
      </c>
      <c r="F86" s="1" t="str">
        <f t="shared" si="35"/>
        <v>¥19,5 + ¥0,045/1 г</v>
      </c>
      <c r="G86" s="1" t="str">
        <f t="shared" si="36"/>
        <v>Запрещено</v>
      </c>
      <c r="L86" s="1">
        <v>8</v>
      </c>
      <c r="M86" s="1" t="s">
        <v>393</v>
      </c>
      <c r="N86" s="1" t="s">
        <v>261</v>
      </c>
      <c r="O86" s="1" t="s">
        <v>309</v>
      </c>
      <c r="P86" s="1">
        <v>16</v>
      </c>
      <c r="Q86" s="1">
        <v>45</v>
      </c>
      <c r="R86" s="1" t="s">
        <v>384</v>
      </c>
      <c r="S86" s="1">
        <f t="shared" si="30"/>
        <v>5</v>
      </c>
      <c r="T86" s="1">
        <v>10</v>
      </c>
      <c r="U86" s="1" t="s">
        <v>264</v>
      </c>
    </row>
    <row r="87" spans="2:21">
      <c r="B87" s="1" t="str">
        <f t="shared" si="31"/>
        <v>Ural Express Small</v>
      </c>
      <c r="C87" s="2">
        <f t="shared" si="32"/>
        <v>9</v>
      </c>
      <c r="D87" s="1" t="str">
        <f t="shared" si="33"/>
        <v>5-10</v>
      </c>
      <c r="E87" s="1" t="str">
        <f t="shared" si="34"/>
        <v>¥16 + ¥0,045/1 г</v>
      </c>
      <c r="F87" s="1" t="str">
        <f t="shared" si="35"/>
        <v>¥19,5 + ¥0,045/1 г</v>
      </c>
      <c r="G87" s="1" t="str">
        <f t="shared" si="36"/>
        <v>Запрещено</v>
      </c>
      <c r="L87" s="1">
        <v>9</v>
      </c>
      <c r="M87" s="1" t="s">
        <v>396</v>
      </c>
      <c r="N87" s="1" t="s">
        <v>261</v>
      </c>
      <c r="O87" s="1" t="s">
        <v>309</v>
      </c>
      <c r="P87" s="1">
        <v>16</v>
      </c>
      <c r="Q87" s="1">
        <v>45</v>
      </c>
      <c r="R87" s="1" t="s">
        <v>384</v>
      </c>
      <c r="S87" s="1">
        <f t="shared" si="30"/>
        <v>5</v>
      </c>
      <c r="T87" s="1">
        <v>10</v>
      </c>
      <c r="U87" s="1" t="s">
        <v>264</v>
      </c>
    </row>
    <row r="88" spans="2:21">
      <c r="B88" s="1" t="str">
        <f t="shared" si="31"/>
        <v>GUOO Express Small</v>
      </c>
      <c r="C88" s="2">
        <f t="shared" si="32"/>
        <v>10</v>
      </c>
      <c r="D88" s="1" t="str">
        <f t="shared" si="33"/>
        <v>5-10</v>
      </c>
      <c r="E88" s="1" t="str">
        <f t="shared" si="34"/>
        <v>¥16 + ¥0,045/1 г</v>
      </c>
      <c r="F88" s="1" t="str">
        <f t="shared" si="35"/>
        <v>¥19,5 + ¥0,045/1 г</v>
      </c>
      <c r="G88" s="1" t="str">
        <f t="shared" si="36"/>
        <v>Запрещено</v>
      </c>
      <c r="L88" s="1">
        <v>10</v>
      </c>
      <c r="M88" s="1" t="s">
        <v>397</v>
      </c>
      <c r="N88" s="1" t="s">
        <v>261</v>
      </c>
      <c r="O88" s="1" t="s">
        <v>309</v>
      </c>
      <c r="P88" s="1">
        <v>16</v>
      </c>
      <c r="Q88" s="1">
        <v>45</v>
      </c>
      <c r="R88" s="1" t="s">
        <v>384</v>
      </c>
      <c r="S88" s="1">
        <f t="shared" si="30"/>
        <v>5</v>
      </c>
      <c r="T88" s="1">
        <v>10</v>
      </c>
      <c r="U88" s="1" t="s">
        <v>264</v>
      </c>
    </row>
    <row r="89" s="5" customFormat="1" spans="2:21">
      <c r="B89" s="5" t="str">
        <f t="shared" si="31"/>
        <v>TFS Express Small</v>
      </c>
      <c r="C89" s="8">
        <f t="shared" si="32"/>
        <v>11</v>
      </c>
      <c r="D89" s="5" t="str">
        <f t="shared" si="33"/>
        <v>5-10</v>
      </c>
      <c r="E89" s="5" t="str">
        <f t="shared" si="34"/>
        <v>¥16 + ¥0,045/1 г</v>
      </c>
      <c r="F89" s="5" t="str">
        <f t="shared" si="35"/>
        <v>¥19,5 + ¥0,045/1 г</v>
      </c>
      <c r="G89" s="5" t="str">
        <f t="shared" si="36"/>
        <v>Разрешено</v>
      </c>
      <c r="L89" s="5">
        <v>11</v>
      </c>
      <c r="M89" s="5" t="s">
        <v>398</v>
      </c>
      <c r="N89" s="5" t="s">
        <v>261</v>
      </c>
      <c r="O89" s="5" t="s">
        <v>309</v>
      </c>
      <c r="P89" s="5">
        <v>16</v>
      </c>
      <c r="Q89" s="5">
        <v>45</v>
      </c>
      <c r="R89" s="5" t="s">
        <v>384</v>
      </c>
      <c r="S89" s="5">
        <f t="shared" si="30"/>
        <v>5</v>
      </c>
      <c r="T89" s="5">
        <v>10</v>
      </c>
      <c r="U89" s="5" t="s">
        <v>388</v>
      </c>
    </row>
    <row r="91" spans="2:21">
      <c r="B91" s="1" t="str">
        <f t="shared" ref="B91:B105" si="37">M91&amp;" "&amp;N91&amp;" "&amp;O91</f>
        <v>ABT  Standard Small</v>
      </c>
      <c r="C91" s="2">
        <f t="shared" ref="C91:C101" si="38">L91</f>
        <v>1</v>
      </c>
      <c r="D91" s="1" t="str">
        <f t="shared" ref="D91:D105" si="39">T91-5&amp;"-"&amp;T91</f>
        <v>10-15</v>
      </c>
      <c r="E91" s="1" t="str">
        <f t="shared" ref="E91:E105" si="40">IF(R91="CNY","¥"&amp;P91&amp;" + ¥"&amp;Q91/1000&amp;"/1 г",IF(R91="USD","$"&amp;P91&amp;" + $"&amp;Q91/1000&amp;"/1 г","Error"))</f>
        <v>¥14 + ¥0,027/1 г</v>
      </c>
      <c r="F91" s="1" t="str">
        <f t="shared" ref="F91:F105" si="41">IF(R91="CNY","¥"&amp;P91+3.5&amp;" + ¥"&amp;Q91/1000&amp;"/1 г",IF(R91="USD","$"&amp;P91+0.49&amp;" + $"&amp;Q91/1000&amp;"/1 г","Error"))</f>
        <v>¥17,5 + ¥0,027/1 г</v>
      </c>
      <c r="G91" s="1" t="str">
        <f t="shared" ref="G91:G105" si="42">IF(OR(U91="Разрешено",U91="允许"),"Разрешено",IF(OR(U91="Запрещено",U91="禁止"),"Запрещено","Error"))</f>
        <v>Разрешено</v>
      </c>
      <c r="L91" s="1">
        <v>1</v>
      </c>
      <c r="M91" s="1" t="s">
        <v>389</v>
      </c>
      <c r="N91" s="1" t="s">
        <v>280</v>
      </c>
      <c r="O91" s="1" t="s">
        <v>309</v>
      </c>
      <c r="P91" s="1">
        <v>14</v>
      </c>
      <c r="Q91" s="1">
        <v>27</v>
      </c>
      <c r="R91" s="1" t="s">
        <v>384</v>
      </c>
      <c r="S91" s="1">
        <f t="shared" si="30"/>
        <v>10</v>
      </c>
      <c r="T91" s="1">
        <v>15</v>
      </c>
      <c r="U91" s="1" t="s">
        <v>277</v>
      </c>
    </row>
    <row r="92" spans="2:21">
      <c r="B92" s="1" t="str">
        <f t="shared" si="37"/>
        <v>UNI Standard Small</v>
      </c>
      <c r="C92" s="2">
        <f t="shared" si="38"/>
        <v>2</v>
      </c>
      <c r="D92" s="1" t="str">
        <f t="shared" si="39"/>
        <v>10-15</v>
      </c>
      <c r="E92" s="1" t="str">
        <f t="shared" si="40"/>
        <v>$2,01 + $0,00362/1 г</v>
      </c>
      <c r="F92" s="1" t="str">
        <f t="shared" si="41"/>
        <v>$2,5 + $0,00362/1 г</v>
      </c>
      <c r="G92" s="1" t="str">
        <f t="shared" si="42"/>
        <v>Разрешено</v>
      </c>
      <c r="L92" s="1">
        <v>2</v>
      </c>
      <c r="M92" s="1" t="s">
        <v>386</v>
      </c>
      <c r="N92" s="1" t="s">
        <v>280</v>
      </c>
      <c r="O92" s="1" t="s">
        <v>309</v>
      </c>
      <c r="P92" s="1">
        <v>2.01</v>
      </c>
      <c r="Q92" s="1">
        <v>3.62</v>
      </c>
      <c r="R92" s="1" t="s">
        <v>387</v>
      </c>
      <c r="S92" s="1">
        <f t="shared" si="30"/>
        <v>10</v>
      </c>
      <c r="T92" s="1">
        <v>15</v>
      </c>
      <c r="U92" s="1" t="s">
        <v>388</v>
      </c>
    </row>
    <row r="93" spans="2:21">
      <c r="B93" s="1" t="str">
        <f t="shared" si="37"/>
        <v>RETS Standard Small</v>
      </c>
      <c r="C93" s="2">
        <f t="shared" si="38"/>
        <v>3</v>
      </c>
      <c r="D93" s="1" t="str">
        <f t="shared" si="39"/>
        <v>7-12</v>
      </c>
      <c r="E93" s="1" t="str">
        <f t="shared" si="40"/>
        <v>¥15 + ¥0,027/1 г</v>
      </c>
      <c r="F93" s="1" t="str">
        <f t="shared" si="41"/>
        <v>¥18,5 + ¥0,027/1 г</v>
      </c>
      <c r="G93" s="1" t="str">
        <f t="shared" si="42"/>
        <v>Разрешено</v>
      </c>
      <c r="L93" s="1">
        <v>3</v>
      </c>
      <c r="M93" s="1" t="s">
        <v>383</v>
      </c>
      <c r="N93" s="1" t="s">
        <v>280</v>
      </c>
      <c r="O93" s="1" t="s">
        <v>309</v>
      </c>
      <c r="P93" s="1">
        <v>15</v>
      </c>
      <c r="Q93" s="1">
        <v>27</v>
      </c>
      <c r="R93" s="1" t="s">
        <v>384</v>
      </c>
      <c r="S93" s="1">
        <f t="shared" si="30"/>
        <v>7</v>
      </c>
      <c r="T93" s="1">
        <v>12</v>
      </c>
      <c r="U93" s="1" t="s">
        <v>388</v>
      </c>
    </row>
    <row r="94" spans="2:21">
      <c r="B94" s="1" t="str">
        <f t="shared" si="37"/>
        <v>OYX  Standard Small</v>
      </c>
      <c r="C94" s="2">
        <f t="shared" si="38"/>
        <v>4</v>
      </c>
      <c r="D94" s="1" t="str">
        <f t="shared" si="39"/>
        <v>10-15</v>
      </c>
      <c r="E94" s="1" t="str">
        <f t="shared" si="40"/>
        <v>¥15 + ¥0,0268/1 г</v>
      </c>
      <c r="F94" s="1" t="str">
        <f t="shared" si="41"/>
        <v>¥18,5 + ¥0,0268/1 г</v>
      </c>
      <c r="G94" s="1" t="str">
        <f t="shared" si="42"/>
        <v>Разрешено</v>
      </c>
      <c r="L94" s="1">
        <v>4</v>
      </c>
      <c r="M94" s="1" t="s">
        <v>390</v>
      </c>
      <c r="N94" s="1" t="s">
        <v>280</v>
      </c>
      <c r="O94" s="1" t="s">
        <v>309</v>
      </c>
      <c r="P94" s="1">
        <v>15</v>
      </c>
      <c r="Q94" s="1">
        <v>26.8</v>
      </c>
      <c r="R94" s="1" t="s">
        <v>384</v>
      </c>
      <c r="S94" s="1">
        <f t="shared" si="30"/>
        <v>10</v>
      </c>
      <c r="T94" s="1">
        <v>15</v>
      </c>
      <c r="U94" s="1" t="s">
        <v>277</v>
      </c>
    </row>
    <row r="95" spans="2:21">
      <c r="B95" s="1" t="str">
        <f t="shared" si="37"/>
        <v>Xingyuan Standard Small</v>
      </c>
      <c r="C95" s="2">
        <f t="shared" si="38"/>
        <v>5</v>
      </c>
      <c r="D95" s="1" t="str">
        <f t="shared" si="39"/>
        <v>10-15</v>
      </c>
      <c r="E95" s="1" t="str">
        <f t="shared" si="40"/>
        <v>¥15 + ¥0,027/1 г</v>
      </c>
      <c r="F95" s="1" t="str">
        <f t="shared" si="41"/>
        <v>¥18,5 + ¥0,027/1 г</v>
      </c>
      <c r="G95" s="1" t="str">
        <f t="shared" si="42"/>
        <v>Разрешено</v>
      </c>
      <c r="L95" s="1">
        <v>5</v>
      </c>
      <c r="M95" s="1" t="s">
        <v>391</v>
      </c>
      <c r="N95" s="1" t="s">
        <v>280</v>
      </c>
      <c r="O95" s="1" t="s">
        <v>309</v>
      </c>
      <c r="P95" s="1">
        <v>15</v>
      </c>
      <c r="Q95" s="1">
        <v>27</v>
      </c>
      <c r="R95" s="1" t="s">
        <v>384</v>
      </c>
      <c r="S95" s="1">
        <f t="shared" si="30"/>
        <v>10</v>
      </c>
      <c r="T95" s="1">
        <v>15</v>
      </c>
      <c r="U95" s="1" t="s">
        <v>277</v>
      </c>
    </row>
    <row r="96" spans="2:21">
      <c r="B96" s="1" t="str">
        <f t="shared" si="37"/>
        <v>CEL Standard Small</v>
      </c>
      <c r="C96" s="2">
        <f t="shared" si="38"/>
        <v>6</v>
      </c>
      <c r="D96" s="1" t="str">
        <f t="shared" si="39"/>
        <v>8-13</v>
      </c>
      <c r="E96" s="1" t="str">
        <f t="shared" si="40"/>
        <v>¥14,9 + ¥0,0286/1 г</v>
      </c>
      <c r="F96" s="1" t="str">
        <f t="shared" si="41"/>
        <v>¥18,4 + ¥0,0286/1 г</v>
      </c>
      <c r="G96" s="1" t="str">
        <f t="shared" si="42"/>
        <v>Разрешено</v>
      </c>
      <c r="L96" s="1">
        <v>6</v>
      </c>
      <c r="M96" s="1" t="s">
        <v>392</v>
      </c>
      <c r="N96" s="1" t="s">
        <v>280</v>
      </c>
      <c r="O96" s="1" t="s">
        <v>309</v>
      </c>
      <c r="P96" s="1">
        <v>14.9</v>
      </c>
      <c r="Q96" s="1">
        <v>28.6</v>
      </c>
      <c r="R96" s="1" t="s">
        <v>384</v>
      </c>
      <c r="S96" s="1">
        <f t="shared" si="30"/>
        <v>8</v>
      </c>
      <c r="T96" s="1">
        <v>13</v>
      </c>
      <c r="U96" s="1" t="s">
        <v>277</v>
      </c>
    </row>
    <row r="97" spans="2:21">
      <c r="B97" s="1" t="str">
        <f t="shared" si="37"/>
        <v>ATC Standard Small</v>
      </c>
      <c r="C97" s="2">
        <f t="shared" si="38"/>
        <v>7</v>
      </c>
      <c r="D97" s="1" t="str">
        <f t="shared" si="39"/>
        <v>10-15</v>
      </c>
      <c r="E97" s="1" t="str">
        <f t="shared" si="40"/>
        <v>¥15,8 + ¥0,033/1 г</v>
      </c>
      <c r="F97" s="1" t="str">
        <f t="shared" si="41"/>
        <v>¥19,3 + ¥0,033/1 г</v>
      </c>
      <c r="G97" s="1" t="str">
        <f t="shared" si="42"/>
        <v>Разрешено</v>
      </c>
      <c r="L97" s="1">
        <v>7</v>
      </c>
      <c r="M97" s="1" t="s">
        <v>399</v>
      </c>
      <c r="N97" s="1" t="s">
        <v>280</v>
      </c>
      <c r="O97" s="1" t="s">
        <v>309</v>
      </c>
      <c r="P97" s="1">
        <v>15.8</v>
      </c>
      <c r="Q97" s="1">
        <v>33</v>
      </c>
      <c r="R97" s="1" t="s">
        <v>384</v>
      </c>
      <c r="S97" s="1">
        <f t="shared" si="30"/>
        <v>10</v>
      </c>
      <c r="T97" s="1">
        <v>15</v>
      </c>
      <c r="U97" s="1" t="s">
        <v>388</v>
      </c>
    </row>
    <row r="98" spans="2:21">
      <c r="B98" s="1" t="str">
        <f t="shared" si="37"/>
        <v>GBS Standard Small</v>
      </c>
      <c r="C98" s="2">
        <f t="shared" si="38"/>
        <v>8</v>
      </c>
      <c r="D98" s="1" t="str">
        <f t="shared" si="39"/>
        <v>9-14</v>
      </c>
      <c r="E98" s="1" t="str">
        <f t="shared" si="40"/>
        <v>¥15,2 + ¥0,034/1 г</v>
      </c>
      <c r="F98" s="1" t="str">
        <f t="shared" si="41"/>
        <v>¥18,7 + ¥0,034/1 г</v>
      </c>
      <c r="G98" s="1" t="str">
        <f t="shared" si="42"/>
        <v>Разрешено</v>
      </c>
      <c r="L98" s="1">
        <v>8</v>
      </c>
      <c r="M98" s="1" t="s">
        <v>402</v>
      </c>
      <c r="N98" s="1" t="s">
        <v>280</v>
      </c>
      <c r="O98" s="1" t="s">
        <v>309</v>
      </c>
      <c r="P98" s="1">
        <v>15.2</v>
      </c>
      <c r="Q98" s="1">
        <v>34</v>
      </c>
      <c r="R98" s="1" t="s">
        <v>384</v>
      </c>
      <c r="S98" s="1">
        <f t="shared" si="30"/>
        <v>9</v>
      </c>
      <c r="T98" s="1">
        <v>14</v>
      </c>
      <c r="U98" s="1" t="s">
        <v>388</v>
      </c>
    </row>
    <row r="99" spans="2:21">
      <c r="B99" s="1" t="str">
        <f t="shared" si="37"/>
        <v>ZTO Standard Small</v>
      </c>
      <c r="C99" s="2">
        <f t="shared" si="38"/>
        <v>9</v>
      </c>
      <c r="D99" s="1" t="str">
        <f t="shared" si="39"/>
        <v>10-15</v>
      </c>
      <c r="E99" s="1" t="str">
        <f t="shared" si="40"/>
        <v>¥16 + ¥0,035/1 г</v>
      </c>
      <c r="F99" s="1" t="str">
        <f t="shared" si="41"/>
        <v>¥19,5 + ¥0,035/1 г</v>
      </c>
      <c r="G99" s="1" t="str">
        <f t="shared" si="42"/>
        <v>Разрешено</v>
      </c>
      <c r="L99" s="1">
        <v>9</v>
      </c>
      <c r="M99" s="1" t="s">
        <v>393</v>
      </c>
      <c r="N99" s="1" t="s">
        <v>280</v>
      </c>
      <c r="O99" s="1" t="s">
        <v>309</v>
      </c>
      <c r="P99" s="1">
        <v>16</v>
      </c>
      <c r="Q99" s="1">
        <v>35</v>
      </c>
      <c r="R99" s="1" t="s">
        <v>384</v>
      </c>
      <c r="S99" s="1">
        <f t="shared" si="30"/>
        <v>10</v>
      </c>
      <c r="T99" s="1">
        <v>15</v>
      </c>
      <c r="U99" s="1" t="s">
        <v>277</v>
      </c>
    </row>
    <row r="100" spans="2:21">
      <c r="B100" s="1" t="str">
        <f t="shared" si="37"/>
        <v>Ural Standard Small</v>
      </c>
      <c r="C100" s="2">
        <f t="shared" si="38"/>
        <v>10</v>
      </c>
      <c r="D100" s="1" t="str">
        <f t="shared" si="39"/>
        <v>10-15</v>
      </c>
      <c r="E100" s="1" t="str">
        <f t="shared" si="40"/>
        <v>¥16 + ¥0,035/1 г</v>
      </c>
      <c r="F100" s="1" t="str">
        <f t="shared" si="41"/>
        <v>¥19,5 + ¥0,035/1 г</v>
      </c>
      <c r="G100" s="1" t="str">
        <f t="shared" si="42"/>
        <v>Разрешено</v>
      </c>
      <c r="L100" s="1">
        <v>10</v>
      </c>
      <c r="M100" s="1" t="s">
        <v>396</v>
      </c>
      <c r="N100" s="1" t="s">
        <v>280</v>
      </c>
      <c r="O100" s="1" t="s">
        <v>309</v>
      </c>
      <c r="P100" s="1">
        <v>16</v>
      </c>
      <c r="Q100" s="1">
        <v>35</v>
      </c>
      <c r="R100" s="1" t="s">
        <v>384</v>
      </c>
      <c r="S100" s="1">
        <f t="shared" si="30"/>
        <v>10</v>
      </c>
      <c r="T100" s="1">
        <v>15</v>
      </c>
      <c r="U100" s="1" t="s">
        <v>277</v>
      </c>
    </row>
    <row r="101" s="5" customFormat="1" spans="2:21">
      <c r="B101" s="5" t="str">
        <f t="shared" si="37"/>
        <v>Leader Standard Small</v>
      </c>
      <c r="C101" s="8">
        <f t="shared" si="38"/>
        <v>10</v>
      </c>
      <c r="D101" s="5" t="str">
        <f t="shared" si="39"/>
        <v>10-15</v>
      </c>
      <c r="E101" s="5" t="str">
        <f t="shared" si="40"/>
        <v>¥15,5 + ¥0,035/1 г</v>
      </c>
      <c r="F101" s="5" t="str">
        <f t="shared" si="41"/>
        <v>¥19 + ¥0,035/1 г</v>
      </c>
      <c r="G101" s="5" t="str">
        <f t="shared" si="42"/>
        <v>Разрешено</v>
      </c>
      <c r="L101" s="5">
        <v>10</v>
      </c>
      <c r="M101" s="5" t="s">
        <v>401</v>
      </c>
      <c r="N101" s="5" t="s">
        <v>280</v>
      </c>
      <c r="O101" s="5" t="s">
        <v>309</v>
      </c>
      <c r="P101" s="5">
        <v>15.5</v>
      </c>
      <c r="Q101" s="5">
        <v>35</v>
      </c>
      <c r="R101" s="5" t="s">
        <v>384</v>
      </c>
      <c r="S101" s="5">
        <f t="shared" si="30"/>
        <v>10</v>
      </c>
      <c r="T101" s="5">
        <v>15</v>
      </c>
      <c r="U101" s="5" t="s">
        <v>277</v>
      </c>
    </row>
    <row r="102" spans="2:21">
      <c r="B102" s="1" t="str">
        <f t="shared" si="37"/>
        <v>IML Standard Small</v>
      </c>
      <c r="C102" s="9">
        <v>11</v>
      </c>
      <c r="D102" s="1" t="str">
        <f t="shared" si="39"/>
        <v>9-14</v>
      </c>
      <c r="E102" s="1" t="str">
        <f t="shared" si="40"/>
        <v>¥15,95 + ¥0,035/1 г</v>
      </c>
      <c r="F102" s="1" t="str">
        <f t="shared" si="41"/>
        <v>¥19,45 + ¥0,035/1 г</v>
      </c>
      <c r="G102" s="1" t="str">
        <f t="shared" si="42"/>
        <v>Разрешено</v>
      </c>
      <c r="L102" s="1">
        <v>12</v>
      </c>
      <c r="M102" s="1" t="s">
        <v>395</v>
      </c>
      <c r="N102" s="1" t="s">
        <v>280</v>
      </c>
      <c r="O102" s="1" t="s">
        <v>309</v>
      </c>
      <c r="P102" s="1">
        <v>15.95</v>
      </c>
      <c r="Q102" s="1">
        <v>35</v>
      </c>
      <c r="R102" s="1" t="s">
        <v>384</v>
      </c>
      <c r="S102" s="1">
        <f t="shared" si="30"/>
        <v>9</v>
      </c>
      <c r="T102" s="1">
        <v>14</v>
      </c>
      <c r="U102" s="1" t="s">
        <v>277</v>
      </c>
    </row>
    <row r="103" spans="2:21">
      <c r="B103" s="1" t="str">
        <f t="shared" si="37"/>
        <v>Tanais Standard Small</v>
      </c>
      <c r="C103" s="9">
        <v>11</v>
      </c>
      <c r="D103" s="1" t="str">
        <f t="shared" si="39"/>
        <v>10-15</v>
      </c>
      <c r="E103" s="1" t="str">
        <f t="shared" si="40"/>
        <v>¥15,9 + ¥0,0345/1 г</v>
      </c>
      <c r="F103" s="1" t="str">
        <f t="shared" si="41"/>
        <v>¥19,4 + ¥0,0345/1 г</v>
      </c>
      <c r="G103" s="1" t="str">
        <f t="shared" si="42"/>
        <v>Разрешено</v>
      </c>
      <c r="L103" s="1">
        <v>12</v>
      </c>
      <c r="M103" s="1" t="s">
        <v>394</v>
      </c>
      <c r="N103" s="1" t="s">
        <v>280</v>
      </c>
      <c r="O103" s="1" t="s">
        <v>309</v>
      </c>
      <c r="P103" s="1">
        <v>15.9</v>
      </c>
      <c r="Q103" s="1">
        <v>34.5</v>
      </c>
      <c r="R103" s="1" t="s">
        <v>384</v>
      </c>
      <c r="S103" s="1">
        <f t="shared" si="30"/>
        <v>10</v>
      </c>
      <c r="T103" s="1">
        <v>15</v>
      </c>
      <c r="U103" s="1" t="s">
        <v>388</v>
      </c>
    </row>
    <row r="104" spans="2:21">
      <c r="B104" s="1" t="str">
        <f t="shared" si="37"/>
        <v>GUOO Standard Small</v>
      </c>
      <c r="C104" s="9">
        <v>13</v>
      </c>
      <c r="D104" s="1" t="str">
        <f t="shared" si="39"/>
        <v>10-15</v>
      </c>
      <c r="E104" s="1" t="str">
        <f t="shared" si="40"/>
        <v>¥16 + ¥0,035/1 г</v>
      </c>
      <c r="F104" s="1" t="str">
        <f t="shared" si="41"/>
        <v>¥19,5 + ¥0,035/1 г</v>
      </c>
      <c r="G104" s="1" t="str">
        <f t="shared" si="42"/>
        <v>Разрешено</v>
      </c>
      <c r="L104" s="1">
        <v>14</v>
      </c>
      <c r="M104" s="1" t="s">
        <v>397</v>
      </c>
      <c r="N104" s="1" t="s">
        <v>280</v>
      </c>
      <c r="O104" s="1" t="s">
        <v>309</v>
      </c>
      <c r="P104" s="1">
        <v>16</v>
      </c>
      <c r="Q104" s="1">
        <v>35</v>
      </c>
      <c r="R104" s="1" t="s">
        <v>384</v>
      </c>
      <c r="S104" s="1">
        <f t="shared" si="30"/>
        <v>10</v>
      </c>
      <c r="T104" s="1">
        <v>15</v>
      </c>
      <c r="U104" s="1" t="s">
        <v>277</v>
      </c>
    </row>
    <row r="105" s="5" customFormat="1" spans="2:21">
      <c r="B105" s="5" t="str">
        <f t="shared" si="37"/>
        <v>TFS Standard Small</v>
      </c>
      <c r="C105" s="8">
        <f>L105</f>
        <v>15</v>
      </c>
      <c r="D105" s="5" t="str">
        <f t="shared" si="39"/>
        <v>10-15</v>
      </c>
      <c r="E105" s="5" t="str">
        <f t="shared" si="40"/>
        <v>¥16 + ¥0,035/1 г</v>
      </c>
      <c r="F105" s="5" t="str">
        <f t="shared" si="41"/>
        <v>¥19,5 + ¥0,035/1 г</v>
      </c>
      <c r="G105" s="5" t="str">
        <f t="shared" si="42"/>
        <v>Разрешено</v>
      </c>
      <c r="L105" s="5">
        <v>15</v>
      </c>
      <c r="M105" s="5" t="s">
        <v>398</v>
      </c>
      <c r="N105" s="5" t="s">
        <v>280</v>
      </c>
      <c r="O105" s="5" t="s">
        <v>309</v>
      </c>
      <c r="P105" s="5">
        <v>16</v>
      </c>
      <c r="Q105" s="5">
        <v>35</v>
      </c>
      <c r="R105" s="5" t="s">
        <v>384</v>
      </c>
      <c r="S105" s="5">
        <f t="shared" si="30"/>
        <v>10</v>
      </c>
      <c r="T105" s="5">
        <v>15</v>
      </c>
      <c r="U105" s="5" t="s">
        <v>388</v>
      </c>
    </row>
    <row r="107" spans="2:21">
      <c r="B107" s="1" t="str">
        <f t="shared" ref="B107:B121" si="43">M107&amp;" "&amp;N107&amp;" "&amp;O107</f>
        <v>RETS Economy Small</v>
      </c>
      <c r="C107" s="2">
        <f>L107</f>
        <v>1</v>
      </c>
      <c r="D107" s="1" t="str">
        <f t="shared" ref="D107:D121" si="44">T107-5&amp;"-"&amp;T107</f>
        <v>12-17</v>
      </c>
      <c r="E107" s="1" t="str">
        <f t="shared" ref="E107:E121" si="45">IF(R107="CNY","¥"&amp;P107&amp;" + ¥"&amp;Q107/1000&amp;"/1 г",IF(R107="USD","$"&amp;P107&amp;" + $"&amp;Q107/1000&amp;"/1 г","Error"))</f>
        <v>¥14 + ¥0,023/1 г</v>
      </c>
      <c r="F107" s="1" t="str">
        <f t="shared" ref="F107:F121" si="46">IF(R107="CNY","¥"&amp;P107+3.5&amp;" + ¥"&amp;Q107/1000&amp;"/1 г",IF(R107="USD","$"&amp;P107+0.49&amp;" + $"&amp;Q107/1000&amp;"/1 г","Error"))</f>
        <v>¥17,5 + ¥0,023/1 г</v>
      </c>
      <c r="G107" s="1" t="str">
        <f t="shared" ref="G107:G121" si="47">IF(OR(U107="Разрешено",U107="允许"),"Разрешено",IF(OR(U107="Запрещено",U107="禁止"),"Запрещено","Error"))</f>
        <v>Разрешено</v>
      </c>
      <c r="L107" s="1">
        <v>1</v>
      </c>
      <c r="M107" s="1" t="s">
        <v>383</v>
      </c>
      <c r="N107" s="1" t="s">
        <v>287</v>
      </c>
      <c r="O107" s="1" t="s">
        <v>309</v>
      </c>
      <c r="P107" s="1">
        <v>14</v>
      </c>
      <c r="Q107" s="1">
        <v>23</v>
      </c>
      <c r="R107" s="1" t="s">
        <v>384</v>
      </c>
      <c r="S107" s="1">
        <f t="shared" si="30"/>
        <v>12</v>
      </c>
      <c r="T107" s="1">
        <v>17</v>
      </c>
      <c r="U107" s="1" t="s">
        <v>388</v>
      </c>
    </row>
    <row r="108" s="5" customFormat="1" spans="2:21">
      <c r="B108" s="5" t="str">
        <f t="shared" si="43"/>
        <v>Cainiao Economy Small</v>
      </c>
      <c r="C108" s="8">
        <f>L108</f>
        <v>2</v>
      </c>
      <c r="D108" s="5" t="str">
        <f t="shared" si="44"/>
        <v>14-19</v>
      </c>
      <c r="E108" s="5" t="str">
        <f t="shared" si="45"/>
        <v>¥14 + ¥0,023/1 г</v>
      </c>
      <c r="F108" s="5" t="str">
        <f t="shared" si="46"/>
        <v>¥17,5 + ¥0,023/1 г</v>
      </c>
      <c r="G108" s="5" t="str">
        <f t="shared" si="47"/>
        <v>Разрешено</v>
      </c>
      <c r="L108" s="5">
        <v>2</v>
      </c>
      <c r="M108" s="5" t="s">
        <v>400</v>
      </c>
      <c r="N108" s="5" t="s">
        <v>287</v>
      </c>
      <c r="O108" s="5" t="s">
        <v>309</v>
      </c>
      <c r="P108" s="5">
        <v>14</v>
      </c>
      <c r="Q108" s="5">
        <v>23</v>
      </c>
      <c r="R108" s="5" t="s">
        <v>384</v>
      </c>
      <c r="S108" s="5">
        <f t="shared" si="30"/>
        <v>14</v>
      </c>
      <c r="T108" s="5">
        <v>19</v>
      </c>
      <c r="U108" s="5" t="s">
        <v>277</v>
      </c>
    </row>
    <row r="109" spans="2:21">
      <c r="B109" s="1" t="str">
        <f t="shared" si="43"/>
        <v>CEL Economy Small</v>
      </c>
      <c r="C109" s="9">
        <v>2</v>
      </c>
      <c r="D109" s="1" t="str">
        <f t="shared" si="44"/>
        <v>15-20</v>
      </c>
      <c r="E109" s="1" t="str">
        <f t="shared" si="45"/>
        <v>¥14 + ¥0,023/1 г</v>
      </c>
      <c r="F109" s="1" t="str">
        <f t="shared" si="46"/>
        <v>¥17,5 + ¥0,023/1 г</v>
      </c>
      <c r="G109" s="1" t="str">
        <f t="shared" si="47"/>
        <v>Разрешено</v>
      </c>
      <c r="L109" s="1">
        <v>3</v>
      </c>
      <c r="M109" s="1" t="s">
        <v>392</v>
      </c>
      <c r="N109" s="1" t="s">
        <v>287</v>
      </c>
      <c r="O109" s="1" t="s">
        <v>309</v>
      </c>
      <c r="P109" s="1">
        <v>14</v>
      </c>
      <c r="Q109" s="1">
        <v>23</v>
      </c>
      <c r="R109" s="1" t="s">
        <v>384</v>
      </c>
      <c r="S109" s="1">
        <f t="shared" si="30"/>
        <v>15</v>
      </c>
      <c r="T109" s="1">
        <v>20</v>
      </c>
      <c r="U109" s="1" t="s">
        <v>277</v>
      </c>
    </row>
    <row r="110" spans="2:21">
      <c r="B110" s="1" t="str">
        <f t="shared" si="43"/>
        <v>ABT  Economy Small</v>
      </c>
      <c r="C110" s="9">
        <v>3</v>
      </c>
      <c r="D110" s="1" t="str">
        <f t="shared" si="44"/>
        <v>15-20</v>
      </c>
      <c r="E110" s="1" t="str">
        <f t="shared" si="45"/>
        <v>¥14 + ¥0,024/1 г</v>
      </c>
      <c r="F110" s="1" t="str">
        <f t="shared" si="46"/>
        <v>¥17,5 + ¥0,024/1 г</v>
      </c>
      <c r="G110" s="1" t="str">
        <f t="shared" si="47"/>
        <v>Разрешено</v>
      </c>
      <c r="L110" s="1">
        <v>4</v>
      </c>
      <c r="M110" s="1" t="s">
        <v>389</v>
      </c>
      <c r="N110" s="1" t="s">
        <v>287</v>
      </c>
      <c r="O110" s="1" t="s">
        <v>309</v>
      </c>
      <c r="P110" s="1">
        <v>14</v>
      </c>
      <c r="Q110" s="1">
        <v>24</v>
      </c>
      <c r="R110" s="1" t="s">
        <v>384</v>
      </c>
      <c r="S110" s="1">
        <f t="shared" si="30"/>
        <v>15</v>
      </c>
      <c r="T110" s="1">
        <v>20</v>
      </c>
      <c r="U110" s="1" t="s">
        <v>277</v>
      </c>
    </row>
    <row r="111" spans="2:21">
      <c r="B111" s="1" t="str">
        <f t="shared" si="43"/>
        <v>OYX  Economy Small</v>
      </c>
      <c r="C111" s="9">
        <v>4</v>
      </c>
      <c r="D111" s="1" t="str">
        <f t="shared" si="44"/>
        <v>15-20</v>
      </c>
      <c r="E111" s="1" t="str">
        <f t="shared" si="45"/>
        <v>¥15 + ¥0,0238/1 г</v>
      </c>
      <c r="F111" s="1" t="str">
        <f t="shared" si="46"/>
        <v>¥18,5 + ¥0,0238/1 г</v>
      </c>
      <c r="G111" s="1" t="str">
        <f t="shared" si="47"/>
        <v>Разрешено</v>
      </c>
      <c r="L111" s="1">
        <v>5</v>
      </c>
      <c r="M111" s="1" t="s">
        <v>390</v>
      </c>
      <c r="N111" s="1" t="s">
        <v>287</v>
      </c>
      <c r="O111" s="1" t="s">
        <v>309</v>
      </c>
      <c r="P111" s="1">
        <v>15</v>
      </c>
      <c r="Q111" s="1">
        <v>23.8</v>
      </c>
      <c r="R111" s="1" t="s">
        <v>384</v>
      </c>
      <c r="S111" s="1">
        <f t="shared" si="30"/>
        <v>15</v>
      </c>
      <c r="T111" s="1">
        <v>20</v>
      </c>
      <c r="U111" s="1" t="s">
        <v>277</v>
      </c>
    </row>
    <row r="112" spans="2:21">
      <c r="B112" s="1" t="str">
        <f t="shared" si="43"/>
        <v>Xingyuan Economy Small</v>
      </c>
      <c r="C112" s="9">
        <v>5</v>
      </c>
      <c r="D112" s="1" t="str">
        <f t="shared" si="44"/>
        <v>15-20</v>
      </c>
      <c r="E112" s="1" t="str">
        <f t="shared" si="45"/>
        <v>¥15 + ¥0,024/1 г</v>
      </c>
      <c r="F112" s="1" t="str">
        <f t="shared" si="46"/>
        <v>¥18,5 + ¥0,024/1 г</v>
      </c>
      <c r="G112" s="1" t="str">
        <f t="shared" si="47"/>
        <v>Разрешено</v>
      </c>
      <c r="L112" s="1">
        <v>6</v>
      </c>
      <c r="M112" s="1" t="s">
        <v>391</v>
      </c>
      <c r="N112" s="1" t="s">
        <v>287</v>
      </c>
      <c r="O112" s="1" t="s">
        <v>309</v>
      </c>
      <c r="P112" s="1">
        <v>15</v>
      </c>
      <c r="Q112" s="1">
        <v>24</v>
      </c>
      <c r="R112" s="1" t="s">
        <v>384</v>
      </c>
      <c r="S112" s="1">
        <f t="shared" si="30"/>
        <v>15</v>
      </c>
      <c r="T112" s="1">
        <v>20</v>
      </c>
      <c r="U112" s="1" t="s">
        <v>277</v>
      </c>
    </row>
    <row r="113" spans="2:21">
      <c r="B113" s="1" t="str">
        <f t="shared" si="43"/>
        <v>GBS Economy Small</v>
      </c>
      <c r="C113" s="9">
        <v>6</v>
      </c>
      <c r="D113" s="1" t="str">
        <f t="shared" si="44"/>
        <v>15-20</v>
      </c>
      <c r="E113" s="1" t="str">
        <f t="shared" si="45"/>
        <v>¥15,2 + ¥0,02375/1 г</v>
      </c>
      <c r="F113" s="1" t="str">
        <f t="shared" si="46"/>
        <v>¥18,7 + ¥0,02375/1 г</v>
      </c>
      <c r="G113" s="1" t="str">
        <f t="shared" si="47"/>
        <v>Разрешено</v>
      </c>
      <c r="L113" s="1">
        <v>7</v>
      </c>
      <c r="M113" s="1" t="s">
        <v>402</v>
      </c>
      <c r="N113" s="1" t="s">
        <v>287</v>
      </c>
      <c r="O113" s="1" t="s">
        <v>309</v>
      </c>
      <c r="P113" s="1">
        <v>15.2</v>
      </c>
      <c r="Q113" s="1">
        <v>23.75</v>
      </c>
      <c r="R113" s="1" t="s">
        <v>384</v>
      </c>
      <c r="S113" s="1">
        <f t="shared" si="30"/>
        <v>15</v>
      </c>
      <c r="T113" s="1">
        <v>20</v>
      </c>
      <c r="U113" s="1" t="s">
        <v>388</v>
      </c>
    </row>
    <row r="114" spans="2:21">
      <c r="B114" s="1" t="str">
        <f t="shared" si="43"/>
        <v>ATC Economy Small</v>
      </c>
      <c r="C114" s="9">
        <v>7</v>
      </c>
      <c r="D114" s="1" t="str">
        <f t="shared" si="44"/>
        <v>15-20</v>
      </c>
      <c r="E114" s="1" t="str">
        <f t="shared" si="45"/>
        <v>¥15,8 + ¥0,0238/1 г</v>
      </c>
      <c r="F114" s="1" t="str">
        <f t="shared" si="46"/>
        <v>¥19,3 + ¥0,0238/1 г</v>
      </c>
      <c r="G114" s="1" t="str">
        <f t="shared" si="47"/>
        <v>Разрешено</v>
      </c>
      <c r="L114" s="1">
        <v>8</v>
      </c>
      <c r="M114" s="1" t="s">
        <v>399</v>
      </c>
      <c r="N114" s="1" t="s">
        <v>287</v>
      </c>
      <c r="O114" s="1" t="s">
        <v>309</v>
      </c>
      <c r="P114" s="1">
        <v>15.8</v>
      </c>
      <c r="Q114" s="1">
        <v>23.8</v>
      </c>
      <c r="R114" s="1" t="s">
        <v>384</v>
      </c>
      <c r="S114" s="1">
        <f t="shared" si="30"/>
        <v>15</v>
      </c>
      <c r="T114" s="1">
        <v>20</v>
      </c>
      <c r="U114" s="1" t="s">
        <v>388</v>
      </c>
    </row>
    <row r="115" spans="2:21">
      <c r="B115" s="1" t="str">
        <f t="shared" si="43"/>
        <v>ZTO Economy Small</v>
      </c>
      <c r="C115" s="9">
        <v>8</v>
      </c>
      <c r="D115" s="1" t="str">
        <f t="shared" si="44"/>
        <v>15-20</v>
      </c>
      <c r="E115" s="1" t="str">
        <f t="shared" si="45"/>
        <v>¥16 + ¥0,025/1 г</v>
      </c>
      <c r="F115" s="1" t="str">
        <f t="shared" si="46"/>
        <v>¥19,5 + ¥0,025/1 г</v>
      </c>
      <c r="G115" s="1" t="str">
        <f t="shared" si="47"/>
        <v>Разрешено</v>
      </c>
      <c r="L115" s="1">
        <v>9</v>
      </c>
      <c r="M115" s="1" t="s">
        <v>393</v>
      </c>
      <c r="N115" s="1" t="s">
        <v>287</v>
      </c>
      <c r="O115" s="1" t="s">
        <v>309</v>
      </c>
      <c r="P115" s="1">
        <v>16</v>
      </c>
      <c r="Q115" s="1">
        <v>25</v>
      </c>
      <c r="R115" s="1" t="s">
        <v>384</v>
      </c>
      <c r="S115" s="1">
        <f t="shared" si="30"/>
        <v>15</v>
      </c>
      <c r="T115" s="1">
        <v>20</v>
      </c>
      <c r="U115" s="1" t="s">
        <v>277</v>
      </c>
    </row>
    <row r="116" spans="2:21">
      <c r="B116" s="1" t="str">
        <f t="shared" si="43"/>
        <v>UNI Economy Small</v>
      </c>
      <c r="C116" s="9">
        <v>8</v>
      </c>
      <c r="D116" s="1" t="str">
        <f t="shared" si="44"/>
        <v>12-17</v>
      </c>
      <c r="E116" s="1" t="str">
        <f t="shared" si="45"/>
        <v>$2,16 + $0,00347/1 г</v>
      </c>
      <c r="F116" s="1" t="str">
        <f t="shared" si="46"/>
        <v>$2,65 + $0,00347/1 г</v>
      </c>
      <c r="G116" s="1" t="str">
        <f t="shared" si="47"/>
        <v>Разрешено</v>
      </c>
      <c r="L116" s="1">
        <v>9</v>
      </c>
      <c r="M116" s="1" t="s">
        <v>386</v>
      </c>
      <c r="N116" s="1" t="s">
        <v>287</v>
      </c>
      <c r="O116" s="1" t="s">
        <v>309</v>
      </c>
      <c r="P116" s="1">
        <v>2.16</v>
      </c>
      <c r="Q116" s="1">
        <v>3.47</v>
      </c>
      <c r="R116" s="1" t="s">
        <v>387</v>
      </c>
      <c r="S116" s="1">
        <f t="shared" si="30"/>
        <v>12</v>
      </c>
      <c r="T116" s="1">
        <v>17</v>
      </c>
      <c r="U116" s="1" t="s">
        <v>388</v>
      </c>
    </row>
    <row r="117" spans="2:21">
      <c r="B117" s="1" t="str">
        <f t="shared" si="43"/>
        <v>Tanais Economy Small</v>
      </c>
      <c r="C117" s="9">
        <v>10</v>
      </c>
      <c r="D117" s="1" t="str">
        <f t="shared" si="44"/>
        <v>14-19</v>
      </c>
      <c r="E117" s="1" t="str">
        <f t="shared" si="45"/>
        <v>¥15,9 + ¥0,0245/1 г</v>
      </c>
      <c r="F117" s="1" t="str">
        <f t="shared" si="46"/>
        <v>¥19,4 + ¥0,0245/1 г</v>
      </c>
      <c r="G117" s="1" t="str">
        <f t="shared" si="47"/>
        <v>Разрешено</v>
      </c>
      <c r="L117" s="1">
        <v>11</v>
      </c>
      <c r="M117" s="1" t="s">
        <v>394</v>
      </c>
      <c r="N117" s="1" t="s">
        <v>287</v>
      </c>
      <c r="O117" s="1" t="s">
        <v>309</v>
      </c>
      <c r="P117" s="1">
        <v>15.9</v>
      </c>
      <c r="Q117" s="1">
        <v>24.5</v>
      </c>
      <c r="R117" s="1" t="s">
        <v>384</v>
      </c>
      <c r="S117" s="1">
        <f t="shared" si="30"/>
        <v>14</v>
      </c>
      <c r="T117" s="1">
        <v>19</v>
      </c>
      <c r="U117" s="1" t="s">
        <v>388</v>
      </c>
    </row>
    <row r="118" spans="2:21">
      <c r="B118" s="1" t="str">
        <f t="shared" si="43"/>
        <v>Ural Economy Small</v>
      </c>
      <c r="C118" s="9">
        <v>11</v>
      </c>
      <c r="D118" s="1" t="str">
        <f t="shared" si="44"/>
        <v>15-20</v>
      </c>
      <c r="E118" s="1" t="str">
        <f t="shared" si="45"/>
        <v>¥16 + ¥0,025/1 г</v>
      </c>
      <c r="F118" s="1" t="str">
        <f t="shared" si="46"/>
        <v>¥19,5 + ¥0,025/1 г</v>
      </c>
      <c r="G118" s="1" t="str">
        <f t="shared" si="47"/>
        <v>Разрешено</v>
      </c>
      <c r="L118" s="1">
        <v>12</v>
      </c>
      <c r="M118" s="1" t="s">
        <v>396</v>
      </c>
      <c r="N118" s="1" t="s">
        <v>287</v>
      </c>
      <c r="O118" s="1" t="s">
        <v>309</v>
      </c>
      <c r="P118" s="1">
        <v>16</v>
      </c>
      <c r="Q118" s="1">
        <v>25</v>
      </c>
      <c r="R118" s="1" t="s">
        <v>384</v>
      </c>
      <c r="S118" s="1">
        <f t="shared" si="30"/>
        <v>15</v>
      </c>
      <c r="T118" s="1">
        <v>20</v>
      </c>
      <c r="U118" s="1" t="s">
        <v>277</v>
      </c>
    </row>
    <row r="119" spans="2:21">
      <c r="B119" s="1" t="str">
        <f t="shared" si="43"/>
        <v>IML Economy Small</v>
      </c>
      <c r="C119" s="9">
        <v>12</v>
      </c>
      <c r="D119" s="1" t="str">
        <f t="shared" si="44"/>
        <v>14-19</v>
      </c>
      <c r="E119" s="1" t="str">
        <f t="shared" si="45"/>
        <v>¥15,95 + ¥0,025/1 г</v>
      </c>
      <c r="F119" s="1" t="str">
        <f t="shared" si="46"/>
        <v>¥19,45 + ¥0,025/1 г</v>
      </c>
      <c r="G119" s="1" t="str">
        <f t="shared" si="47"/>
        <v>Разрешено</v>
      </c>
      <c r="L119" s="1">
        <v>13</v>
      </c>
      <c r="M119" s="1" t="s">
        <v>395</v>
      </c>
      <c r="N119" s="1" t="s">
        <v>287</v>
      </c>
      <c r="O119" s="1" t="s">
        <v>309</v>
      </c>
      <c r="P119" s="1">
        <v>15.95</v>
      </c>
      <c r="Q119" s="1">
        <v>25</v>
      </c>
      <c r="R119" s="1" t="s">
        <v>384</v>
      </c>
      <c r="S119" s="1">
        <f t="shared" si="30"/>
        <v>14</v>
      </c>
      <c r="T119" s="1">
        <v>19</v>
      </c>
      <c r="U119" s="1" t="s">
        <v>277</v>
      </c>
    </row>
    <row r="120" spans="2:21">
      <c r="B120" s="1" t="str">
        <f t="shared" si="43"/>
        <v>GUOO Economy Small</v>
      </c>
      <c r="C120" s="9">
        <v>13</v>
      </c>
      <c r="D120" s="1" t="str">
        <f t="shared" si="44"/>
        <v>15-20</v>
      </c>
      <c r="E120" s="1" t="str">
        <f t="shared" si="45"/>
        <v>¥16 + ¥0,025/1 г</v>
      </c>
      <c r="F120" s="1" t="str">
        <f t="shared" si="46"/>
        <v>¥19,5 + ¥0,025/1 г</v>
      </c>
      <c r="G120" s="1" t="str">
        <f t="shared" si="47"/>
        <v>Разрешено</v>
      </c>
      <c r="L120" s="1">
        <v>14</v>
      </c>
      <c r="M120" s="1" t="s">
        <v>397</v>
      </c>
      <c r="N120" s="1" t="s">
        <v>287</v>
      </c>
      <c r="O120" s="1" t="s">
        <v>309</v>
      </c>
      <c r="P120" s="1">
        <v>16</v>
      </c>
      <c r="Q120" s="1">
        <v>25</v>
      </c>
      <c r="R120" s="1" t="s">
        <v>384</v>
      </c>
      <c r="S120" s="1">
        <f t="shared" si="30"/>
        <v>15</v>
      </c>
      <c r="T120" s="1">
        <v>20</v>
      </c>
      <c r="U120" s="1" t="s">
        <v>277</v>
      </c>
    </row>
    <row r="121" s="5" customFormat="1" spans="2:21">
      <c r="B121" s="5" t="str">
        <f t="shared" si="43"/>
        <v>TFS Economy Small</v>
      </c>
      <c r="C121" s="8">
        <f>L121</f>
        <v>15</v>
      </c>
      <c r="D121" s="5" t="str">
        <f t="shared" si="44"/>
        <v>15-20</v>
      </c>
      <c r="E121" s="5" t="str">
        <f t="shared" si="45"/>
        <v>¥16 + ¥0,025/1 г</v>
      </c>
      <c r="F121" s="5" t="str">
        <f t="shared" si="46"/>
        <v>¥19,5 + ¥0,025/1 г</v>
      </c>
      <c r="G121" s="5" t="str">
        <f t="shared" si="47"/>
        <v>Разрешено</v>
      </c>
      <c r="L121" s="5">
        <v>15</v>
      </c>
      <c r="M121" s="5" t="s">
        <v>398</v>
      </c>
      <c r="N121" s="5" t="s">
        <v>287</v>
      </c>
      <c r="O121" s="5" t="s">
        <v>309</v>
      </c>
      <c r="P121" s="5">
        <v>16</v>
      </c>
      <c r="Q121" s="5">
        <v>25</v>
      </c>
      <c r="R121" s="5" t="s">
        <v>384</v>
      </c>
      <c r="S121" s="5">
        <f t="shared" si="30"/>
        <v>15</v>
      </c>
      <c r="T121" s="5">
        <v>20</v>
      </c>
      <c r="U121" s="5" t="s">
        <v>388</v>
      </c>
    </row>
    <row r="123" spans="2:21">
      <c r="B123" s="1" t="str">
        <f t="shared" ref="B123:B128" si="48">M123&amp;" "&amp;N123&amp;" "&amp;O123</f>
        <v>RETS Express Big</v>
      </c>
      <c r="C123" s="2">
        <f t="shared" ref="C123:C128" si="49">L123</f>
        <v>1</v>
      </c>
      <c r="D123" s="1" t="str">
        <f t="shared" ref="D123:D128" si="50">T123-5&amp;"-"&amp;T123</f>
        <v>3-8</v>
      </c>
      <c r="E123" s="1" t="str">
        <f t="shared" ref="E123:E128" si="51">IF(R123="CNY","¥"&amp;P123&amp;" + ¥"&amp;Q123/1000&amp;"/1 г",IF(R123="USD","$"&amp;P123&amp;" + $"&amp;Q123/1000&amp;"/1 г","Error"))</f>
        <v>¥35,9 + ¥0,033/1 г</v>
      </c>
      <c r="F123" s="1" t="str">
        <f t="shared" ref="F123:F128" si="52">IF(R123="CNY","¥"&amp;P123+3.5&amp;" + ¥"&amp;Q123/1000&amp;"/1 г",IF(R123="USD","$"&amp;P123+0.49&amp;" + $"&amp;Q123/1000&amp;"/1 г","Error"))</f>
        <v>¥39,4 + ¥0,033/1 г</v>
      </c>
      <c r="G123" s="1" t="str">
        <f t="shared" ref="G123:G128" si="53">IF(OR(U123="Разрешено",U123="允许"),"Разрешено",IF(OR(U123="Запрещено",U123="禁止"),"Запрещено","Error"))</f>
        <v>Запрещено</v>
      </c>
      <c r="L123" s="1">
        <v>1</v>
      </c>
      <c r="M123" s="1" t="s">
        <v>383</v>
      </c>
      <c r="N123" s="1" t="s">
        <v>261</v>
      </c>
      <c r="O123" s="1" t="s">
        <v>332</v>
      </c>
      <c r="P123" s="1">
        <v>35.9</v>
      </c>
      <c r="Q123" s="1">
        <v>33</v>
      </c>
      <c r="R123" s="1" t="s">
        <v>384</v>
      </c>
      <c r="S123" s="1">
        <f t="shared" si="30"/>
        <v>3</v>
      </c>
      <c r="T123" s="1">
        <v>8</v>
      </c>
      <c r="U123" s="1" t="s">
        <v>385</v>
      </c>
    </row>
    <row r="124" spans="2:21">
      <c r="B124" s="1" t="str">
        <f t="shared" si="48"/>
        <v>UNI Express Big</v>
      </c>
      <c r="C124" s="2">
        <f t="shared" si="49"/>
        <v>2</v>
      </c>
      <c r="D124" s="1" t="str">
        <f t="shared" si="50"/>
        <v>5-10</v>
      </c>
      <c r="E124" s="1" t="str">
        <f t="shared" si="51"/>
        <v>$4,82 + $0,00443/1 г</v>
      </c>
      <c r="F124" s="1" t="str">
        <f t="shared" si="52"/>
        <v>$5,31 + $0,00443/1 г</v>
      </c>
      <c r="G124" s="1" t="str">
        <f t="shared" si="53"/>
        <v>Разрешено</v>
      </c>
      <c r="L124" s="1">
        <v>2</v>
      </c>
      <c r="M124" s="1" t="s">
        <v>386</v>
      </c>
      <c r="N124" s="1" t="s">
        <v>261</v>
      </c>
      <c r="O124" s="1" t="s">
        <v>332</v>
      </c>
      <c r="P124" s="1">
        <v>4.82</v>
      </c>
      <c r="Q124" s="1">
        <v>4.43</v>
      </c>
      <c r="R124" s="1" t="s">
        <v>387</v>
      </c>
      <c r="S124" s="1">
        <f t="shared" si="30"/>
        <v>5</v>
      </c>
      <c r="T124" s="1">
        <v>10</v>
      </c>
      <c r="U124" s="1" t="s">
        <v>388</v>
      </c>
    </row>
    <row r="125" spans="2:21">
      <c r="B125" s="1" t="str">
        <f t="shared" si="48"/>
        <v>CEL Express Big</v>
      </c>
      <c r="C125" s="2">
        <f t="shared" si="49"/>
        <v>3</v>
      </c>
      <c r="D125" s="1" t="str">
        <f t="shared" si="50"/>
        <v>5-10</v>
      </c>
      <c r="E125" s="1" t="str">
        <f t="shared" si="51"/>
        <v>¥35,9 + ¥0,033/1 г</v>
      </c>
      <c r="F125" s="1" t="str">
        <f t="shared" si="52"/>
        <v>¥39,4 + ¥0,033/1 г</v>
      </c>
      <c r="G125" s="1" t="str">
        <f t="shared" si="53"/>
        <v>Запрещено</v>
      </c>
      <c r="L125" s="1">
        <v>3</v>
      </c>
      <c r="M125" s="1" t="s">
        <v>392</v>
      </c>
      <c r="N125" s="1" t="s">
        <v>261</v>
      </c>
      <c r="O125" s="1" t="s">
        <v>332</v>
      </c>
      <c r="P125" s="1">
        <v>35.9</v>
      </c>
      <c r="Q125" s="1">
        <v>33</v>
      </c>
      <c r="R125" s="1" t="s">
        <v>384</v>
      </c>
      <c r="S125" s="1">
        <f t="shared" si="30"/>
        <v>5</v>
      </c>
      <c r="T125" s="1">
        <v>10</v>
      </c>
      <c r="U125" s="1" t="s">
        <v>264</v>
      </c>
    </row>
    <row r="126" spans="2:21">
      <c r="B126" s="1" t="str">
        <f t="shared" si="48"/>
        <v>IML Express Big</v>
      </c>
      <c r="C126" s="2">
        <f t="shared" si="49"/>
        <v>4</v>
      </c>
      <c r="D126" s="1" t="str">
        <f t="shared" si="50"/>
        <v>3-8</v>
      </c>
      <c r="E126" s="1" t="str">
        <f t="shared" si="51"/>
        <v>¥35,95 + ¥0,033/1 г</v>
      </c>
      <c r="F126" s="1" t="str">
        <f t="shared" si="52"/>
        <v>¥39,45 + ¥0,033/1 г</v>
      </c>
      <c r="G126" s="1" t="str">
        <f t="shared" si="53"/>
        <v>Разрешено</v>
      </c>
      <c r="L126" s="1">
        <v>4</v>
      </c>
      <c r="M126" s="1" t="s">
        <v>395</v>
      </c>
      <c r="N126" s="1" t="s">
        <v>261</v>
      </c>
      <c r="O126" s="1" t="s">
        <v>332</v>
      </c>
      <c r="P126" s="1">
        <v>35.95</v>
      </c>
      <c r="Q126" s="1">
        <v>33</v>
      </c>
      <c r="R126" s="1" t="s">
        <v>384</v>
      </c>
      <c r="S126" s="1">
        <f t="shared" si="30"/>
        <v>3</v>
      </c>
      <c r="T126" s="1">
        <v>8</v>
      </c>
      <c r="U126" s="1" t="s">
        <v>277</v>
      </c>
    </row>
    <row r="127" spans="2:21">
      <c r="B127" s="1" t="str">
        <f t="shared" si="48"/>
        <v>Ural Express Big</v>
      </c>
      <c r="C127" s="2">
        <f t="shared" si="49"/>
        <v>5</v>
      </c>
      <c r="D127" s="1" t="str">
        <f t="shared" si="50"/>
        <v>5-10</v>
      </c>
      <c r="E127" s="1" t="str">
        <f t="shared" si="51"/>
        <v>¥36 + ¥0,033/1 г</v>
      </c>
      <c r="F127" s="1" t="str">
        <f t="shared" si="52"/>
        <v>¥39,5 + ¥0,033/1 г</v>
      </c>
      <c r="G127" s="1" t="str">
        <f t="shared" si="53"/>
        <v>Запрещено</v>
      </c>
      <c r="L127" s="1">
        <v>5</v>
      </c>
      <c r="M127" s="1" t="s">
        <v>396</v>
      </c>
      <c r="N127" s="1" t="s">
        <v>261</v>
      </c>
      <c r="O127" s="1" t="s">
        <v>332</v>
      </c>
      <c r="P127" s="1">
        <v>36</v>
      </c>
      <c r="Q127" s="1">
        <v>33</v>
      </c>
      <c r="R127" s="1" t="s">
        <v>384</v>
      </c>
      <c r="S127" s="1">
        <f t="shared" si="30"/>
        <v>5</v>
      </c>
      <c r="T127" s="1">
        <v>10</v>
      </c>
      <c r="U127" s="1" t="s">
        <v>264</v>
      </c>
    </row>
    <row r="128" s="5" customFormat="1" spans="2:21">
      <c r="B128" s="5" t="str">
        <f t="shared" si="48"/>
        <v>TFS Express Big</v>
      </c>
      <c r="C128" s="8">
        <f t="shared" si="49"/>
        <v>6</v>
      </c>
      <c r="D128" s="5" t="str">
        <f t="shared" si="50"/>
        <v>5-10</v>
      </c>
      <c r="E128" s="5" t="str">
        <f t="shared" si="51"/>
        <v>¥36 + ¥0,033/1 г</v>
      </c>
      <c r="F128" s="5" t="str">
        <f t="shared" si="52"/>
        <v>¥39,5 + ¥0,033/1 г</v>
      </c>
      <c r="G128" s="5" t="str">
        <f t="shared" si="53"/>
        <v>Разрешено</v>
      </c>
      <c r="L128" s="5">
        <v>6</v>
      </c>
      <c r="M128" s="5" t="s">
        <v>398</v>
      </c>
      <c r="N128" s="5" t="s">
        <v>261</v>
      </c>
      <c r="O128" s="5" t="s">
        <v>332</v>
      </c>
      <c r="P128" s="5">
        <v>36</v>
      </c>
      <c r="Q128" s="5">
        <v>33</v>
      </c>
      <c r="R128" s="5" t="s">
        <v>384</v>
      </c>
      <c r="S128" s="5">
        <f t="shared" si="30"/>
        <v>5</v>
      </c>
      <c r="T128" s="5">
        <v>10</v>
      </c>
      <c r="U128" s="5" t="s">
        <v>388</v>
      </c>
    </row>
    <row r="130" spans="2:21">
      <c r="B130" s="1" t="str">
        <f t="shared" ref="B130:B140" si="54">M130&amp;" "&amp;N130&amp;" "&amp;O130</f>
        <v>ABT  Standard Big</v>
      </c>
      <c r="C130" s="2">
        <f t="shared" ref="C130:C140" si="55">L130</f>
        <v>1</v>
      </c>
      <c r="D130" s="1" t="str">
        <f t="shared" ref="D130:D140" si="56">T130-5&amp;"-"&amp;T130</f>
        <v>10-15</v>
      </c>
      <c r="E130" s="1" t="str">
        <f t="shared" ref="E130:E140" si="57">IF(R130="CNY","¥"&amp;P130&amp;" + ¥"&amp;Q130/1000&amp;"/1 г",IF(R130="USD","$"&amp;P130&amp;" + $"&amp;Q130/1000&amp;"/1 г","Error"))</f>
        <v>¥34 + ¥0,024/1 г</v>
      </c>
      <c r="F130" s="1" t="str">
        <f t="shared" ref="F130:F140" si="58">IF(R130="CNY","¥"&amp;P130+3.5&amp;" + ¥"&amp;Q130/1000&amp;"/1 г",IF(R130="USD","$"&amp;P130+0.49&amp;" + $"&amp;Q130/1000&amp;"/1 г","Error"))</f>
        <v>¥37,5 + ¥0,024/1 г</v>
      </c>
      <c r="G130" s="1" t="str">
        <f t="shared" ref="G130:G140" si="59">IF(OR(U130="Разрешено",U130="允许"),"Разрешено",IF(OR(U130="Запрещено",U130="禁止"),"Запрещено","Error"))</f>
        <v>Разрешено</v>
      </c>
      <c r="L130" s="1">
        <v>1</v>
      </c>
      <c r="M130" s="1" t="s">
        <v>389</v>
      </c>
      <c r="N130" s="1" t="s">
        <v>280</v>
      </c>
      <c r="O130" s="1" t="s">
        <v>332</v>
      </c>
      <c r="P130" s="1">
        <v>34</v>
      </c>
      <c r="Q130" s="1">
        <v>24</v>
      </c>
      <c r="R130" s="1" t="s">
        <v>384</v>
      </c>
      <c r="S130" s="1">
        <f t="shared" si="30"/>
        <v>10</v>
      </c>
      <c r="T130" s="1">
        <v>15</v>
      </c>
      <c r="U130" s="1" t="s">
        <v>277</v>
      </c>
    </row>
    <row r="131" spans="2:21">
      <c r="B131" s="1" t="str">
        <f t="shared" si="54"/>
        <v>UNI Standard Big</v>
      </c>
      <c r="C131" s="2">
        <f t="shared" si="55"/>
        <v>2</v>
      </c>
      <c r="D131" s="1" t="str">
        <f t="shared" si="56"/>
        <v>10-15</v>
      </c>
      <c r="E131" s="1" t="str">
        <f t="shared" si="57"/>
        <v>$4,83 + $0,00321/1 г</v>
      </c>
      <c r="F131" s="1" t="str">
        <f t="shared" si="58"/>
        <v>$5,32 + $0,00321/1 г</v>
      </c>
      <c r="G131" s="1" t="str">
        <f t="shared" si="59"/>
        <v>Разрешено</v>
      </c>
      <c r="L131" s="1">
        <v>2</v>
      </c>
      <c r="M131" s="1" t="s">
        <v>386</v>
      </c>
      <c r="N131" s="1" t="s">
        <v>280</v>
      </c>
      <c r="O131" s="1" t="s">
        <v>332</v>
      </c>
      <c r="P131" s="1">
        <v>4.83</v>
      </c>
      <c r="Q131" s="1">
        <v>3.21</v>
      </c>
      <c r="R131" s="1" t="s">
        <v>387</v>
      </c>
      <c r="S131" s="1">
        <f t="shared" si="30"/>
        <v>10</v>
      </c>
      <c r="T131" s="1">
        <v>15</v>
      </c>
      <c r="U131" s="1" t="s">
        <v>388</v>
      </c>
    </row>
    <row r="132" spans="2:21">
      <c r="B132" s="1" t="str">
        <f t="shared" si="54"/>
        <v>OYX  Standard Big</v>
      </c>
      <c r="C132" s="2">
        <f t="shared" si="55"/>
        <v>3</v>
      </c>
      <c r="D132" s="1" t="str">
        <f t="shared" si="56"/>
        <v>10-15</v>
      </c>
      <c r="E132" s="1" t="str">
        <f t="shared" si="57"/>
        <v>¥35 + ¥0,0238/1 г</v>
      </c>
      <c r="F132" s="1" t="str">
        <f t="shared" si="58"/>
        <v>¥38,5 + ¥0,0238/1 г</v>
      </c>
      <c r="G132" s="1" t="str">
        <f t="shared" si="59"/>
        <v>Разрешено</v>
      </c>
      <c r="L132" s="1">
        <v>3</v>
      </c>
      <c r="M132" s="1" t="s">
        <v>390</v>
      </c>
      <c r="N132" s="1" t="s">
        <v>280</v>
      </c>
      <c r="O132" s="1" t="s">
        <v>332</v>
      </c>
      <c r="P132" s="1">
        <v>35</v>
      </c>
      <c r="Q132" s="1">
        <v>23.8</v>
      </c>
      <c r="R132" s="1" t="s">
        <v>384</v>
      </c>
      <c r="S132" s="1">
        <f t="shared" ref="S132:S195" si="60">T132-5</f>
        <v>10</v>
      </c>
      <c r="T132" s="1">
        <v>15</v>
      </c>
      <c r="U132" s="1" t="s">
        <v>277</v>
      </c>
    </row>
    <row r="133" spans="2:21">
      <c r="B133" s="1" t="str">
        <f t="shared" si="54"/>
        <v>Xingyuan Standard Big</v>
      </c>
      <c r="C133" s="2">
        <f t="shared" si="55"/>
        <v>4</v>
      </c>
      <c r="D133" s="1" t="str">
        <f t="shared" si="56"/>
        <v>10-15</v>
      </c>
      <c r="E133" s="1" t="str">
        <f t="shared" si="57"/>
        <v>¥35 + ¥0,024/1 г</v>
      </c>
      <c r="F133" s="1" t="str">
        <f t="shared" si="58"/>
        <v>¥38,5 + ¥0,024/1 г</v>
      </c>
      <c r="G133" s="1" t="str">
        <f t="shared" si="59"/>
        <v>Разрешено</v>
      </c>
      <c r="L133" s="1">
        <v>4</v>
      </c>
      <c r="M133" s="1" t="s">
        <v>391</v>
      </c>
      <c r="N133" s="1" t="s">
        <v>280</v>
      </c>
      <c r="O133" s="1" t="s">
        <v>332</v>
      </c>
      <c r="P133" s="1">
        <v>35</v>
      </c>
      <c r="Q133" s="1">
        <v>24</v>
      </c>
      <c r="R133" s="1" t="s">
        <v>384</v>
      </c>
      <c r="S133" s="1">
        <f t="shared" si="60"/>
        <v>10</v>
      </c>
      <c r="T133" s="1">
        <v>15</v>
      </c>
      <c r="U133" s="1" t="s">
        <v>277</v>
      </c>
    </row>
    <row r="134" spans="2:21">
      <c r="B134" s="1" t="str">
        <f t="shared" si="54"/>
        <v>RETS Standard Big</v>
      </c>
      <c r="C134" s="2">
        <f t="shared" si="55"/>
        <v>5</v>
      </c>
      <c r="D134" s="1" t="str">
        <f t="shared" si="56"/>
        <v>7-12</v>
      </c>
      <c r="E134" s="1" t="str">
        <f t="shared" si="57"/>
        <v>¥35,9 + ¥0,024/1 г</v>
      </c>
      <c r="F134" s="1" t="str">
        <f t="shared" si="58"/>
        <v>¥39,4 + ¥0,024/1 г</v>
      </c>
      <c r="G134" s="1" t="str">
        <f t="shared" si="59"/>
        <v>Разрешено</v>
      </c>
      <c r="L134" s="1">
        <v>5</v>
      </c>
      <c r="M134" s="1" t="s">
        <v>383</v>
      </c>
      <c r="N134" s="1" t="s">
        <v>280</v>
      </c>
      <c r="O134" s="1" t="s">
        <v>332</v>
      </c>
      <c r="P134" s="1">
        <v>35.9</v>
      </c>
      <c r="Q134" s="1">
        <v>24</v>
      </c>
      <c r="R134" s="1" t="s">
        <v>384</v>
      </c>
      <c r="S134" s="1">
        <f t="shared" si="60"/>
        <v>7</v>
      </c>
      <c r="T134" s="1">
        <v>12</v>
      </c>
      <c r="U134" s="1" t="s">
        <v>388</v>
      </c>
    </row>
    <row r="135" spans="2:21">
      <c r="B135" s="1" t="str">
        <f t="shared" si="54"/>
        <v>CEL Standard Big</v>
      </c>
      <c r="C135" s="2">
        <f t="shared" si="55"/>
        <v>6</v>
      </c>
      <c r="D135" s="1" t="str">
        <f t="shared" si="56"/>
        <v>8-13</v>
      </c>
      <c r="E135" s="1" t="str">
        <f t="shared" si="57"/>
        <v>¥35,9 + ¥0,024/1 г</v>
      </c>
      <c r="F135" s="1" t="str">
        <f t="shared" si="58"/>
        <v>¥39,4 + ¥0,024/1 г</v>
      </c>
      <c r="G135" s="1" t="str">
        <f t="shared" si="59"/>
        <v>Разрешено</v>
      </c>
      <c r="L135" s="1">
        <v>6</v>
      </c>
      <c r="M135" s="1" t="s">
        <v>392</v>
      </c>
      <c r="N135" s="1" t="s">
        <v>280</v>
      </c>
      <c r="O135" s="1" t="s">
        <v>332</v>
      </c>
      <c r="P135" s="1">
        <v>35.9</v>
      </c>
      <c r="Q135" s="1">
        <v>24</v>
      </c>
      <c r="R135" s="1" t="s">
        <v>384</v>
      </c>
      <c r="S135" s="1">
        <f t="shared" si="60"/>
        <v>8</v>
      </c>
      <c r="T135" s="1">
        <v>13</v>
      </c>
      <c r="U135" s="1" t="s">
        <v>277</v>
      </c>
    </row>
    <row r="136" spans="2:21">
      <c r="B136" s="1" t="str">
        <f t="shared" si="54"/>
        <v>Tanais Standard Big</v>
      </c>
      <c r="C136" s="2">
        <f t="shared" si="55"/>
        <v>7</v>
      </c>
      <c r="D136" s="1" t="str">
        <f t="shared" si="56"/>
        <v>10-15</v>
      </c>
      <c r="E136" s="1" t="str">
        <f t="shared" si="57"/>
        <v>¥36 + ¥0,0249/1 г</v>
      </c>
      <c r="F136" s="1" t="str">
        <f t="shared" si="58"/>
        <v>¥39,5 + ¥0,0249/1 г</v>
      </c>
      <c r="G136" s="1" t="str">
        <f t="shared" si="59"/>
        <v>Разрешено</v>
      </c>
      <c r="L136" s="1">
        <v>7</v>
      </c>
      <c r="M136" s="1" t="s">
        <v>394</v>
      </c>
      <c r="N136" s="1" t="s">
        <v>280</v>
      </c>
      <c r="O136" s="1" t="s">
        <v>332</v>
      </c>
      <c r="P136" s="1">
        <v>36</v>
      </c>
      <c r="Q136" s="1">
        <v>24.9</v>
      </c>
      <c r="R136" s="1" t="s">
        <v>384</v>
      </c>
      <c r="S136" s="1">
        <f t="shared" si="60"/>
        <v>10</v>
      </c>
      <c r="T136" s="1">
        <v>15</v>
      </c>
      <c r="U136" s="1" t="s">
        <v>388</v>
      </c>
    </row>
    <row r="137" spans="2:21">
      <c r="B137" s="1" t="str">
        <f t="shared" si="54"/>
        <v>IML Standard Big</v>
      </c>
      <c r="C137" s="2">
        <f t="shared" si="55"/>
        <v>8</v>
      </c>
      <c r="D137" s="1" t="str">
        <f t="shared" si="56"/>
        <v>9-14</v>
      </c>
      <c r="E137" s="1" t="str">
        <f t="shared" si="57"/>
        <v>¥35,95 + ¥0,025/1 г</v>
      </c>
      <c r="F137" s="1" t="str">
        <f t="shared" si="58"/>
        <v>¥39,45 + ¥0,025/1 г</v>
      </c>
      <c r="G137" s="1" t="str">
        <f t="shared" si="59"/>
        <v>Разрешено</v>
      </c>
      <c r="L137" s="1">
        <v>8</v>
      </c>
      <c r="M137" s="1" t="s">
        <v>395</v>
      </c>
      <c r="N137" s="1" t="s">
        <v>280</v>
      </c>
      <c r="O137" s="1" t="s">
        <v>332</v>
      </c>
      <c r="P137" s="1">
        <v>35.95</v>
      </c>
      <c r="Q137" s="1">
        <v>25</v>
      </c>
      <c r="R137" s="1" t="s">
        <v>384</v>
      </c>
      <c r="S137" s="1">
        <f t="shared" si="60"/>
        <v>9</v>
      </c>
      <c r="T137" s="1">
        <v>14</v>
      </c>
      <c r="U137" s="1" t="s">
        <v>277</v>
      </c>
    </row>
    <row r="138" spans="2:21">
      <c r="B138" s="1" t="str">
        <f t="shared" si="54"/>
        <v>Ural Standard Big</v>
      </c>
      <c r="C138" s="2">
        <f t="shared" si="55"/>
        <v>9</v>
      </c>
      <c r="D138" s="1" t="str">
        <f t="shared" si="56"/>
        <v>10-15</v>
      </c>
      <c r="E138" s="1" t="str">
        <f t="shared" si="57"/>
        <v>¥36 + ¥0,025/1 г</v>
      </c>
      <c r="F138" s="1" t="str">
        <f t="shared" si="58"/>
        <v>¥39,5 + ¥0,025/1 г</v>
      </c>
      <c r="G138" s="1" t="str">
        <f t="shared" si="59"/>
        <v>Разрешено</v>
      </c>
      <c r="L138" s="1">
        <v>9</v>
      </c>
      <c r="M138" s="1" t="s">
        <v>396</v>
      </c>
      <c r="N138" s="1" t="s">
        <v>280</v>
      </c>
      <c r="O138" s="1" t="s">
        <v>332</v>
      </c>
      <c r="P138" s="1">
        <v>36</v>
      </c>
      <c r="Q138" s="1">
        <v>25</v>
      </c>
      <c r="R138" s="1" t="s">
        <v>384</v>
      </c>
      <c r="S138" s="1">
        <f t="shared" si="60"/>
        <v>10</v>
      </c>
      <c r="T138" s="1">
        <v>15</v>
      </c>
      <c r="U138" s="1" t="s">
        <v>277</v>
      </c>
    </row>
    <row r="139" spans="2:21">
      <c r="B139" s="1" t="str">
        <f t="shared" si="54"/>
        <v>ATC Standard Big</v>
      </c>
      <c r="C139" s="2">
        <f t="shared" si="55"/>
        <v>10</v>
      </c>
      <c r="D139" s="1" t="str">
        <f t="shared" si="56"/>
        <v>10-15</v>
      </c>
      <c r="E139" s="1" t="str">
        <f t="shared" si="57"/>
        <v>¥36 + ¥0,025/1 г</v>
      </c>
      <c r="F139" s="1" t="str">
        <f t="shared" si="58"/>
        <v>¥39,5 + ¥0,025/1 г</v>
      </c>
      <c r="G139" s="1" t="str">
        <f t="shared" si="59"/>
        <v>Разрешено</v>
      </c>
      <c r="L139" s="1">
        <v>10</v>
      </c>
      <c r="M139" s="1" t="s">
        <v>399</v>
      </c>
      <c r="N139" s="1" t="s">
        <v>280</v>
      </c>
      <c r="O139" s="1" t="s">
        <v>332</v>
      </c>
      <c r="P139" s="1">
        <v>36</v>
      </c>
      <c r="Q139" s="1">
        <v>25</v>
      </c>
      <c r="R139" s="1" t="s">
        <v>384</v>
      </c>
      <c r="S139" s="1">
        <f t="shared" si="60"/>
        <v>10</v>
      </c>
      <c r="T139" s="1">
        <v>15</v>
      </c>
      <c r="U139" s="1" t="s">
        <v>388</v>
      </c>
    </row>
    <row r="140" s="5" customFormat="1" spans="2:21">
      <c r="B140" s="5" t="str">
        <f t="shared" si="54"/>
        <v>TFS Standard Big</v>
      </c>
      <c r="C140" s="8">
        <f t="shared" si="55"/>
        <v>11</v>
      </c>
      <c r="D140" s="5" t="str">
        <f t="shared" si="56"/>
        <v>10-15</v>
      </c>
      <c r="E140" s="5" t="str">
        <f t="shared" si="57"/>
        <v>¥36 + ¥0,025/1 г</v>
      </c>
      <c r="F140" s="5" t="str">
        <f t="shared" si="58"/>
        <v>¥39,5 + ¥0,025/1 г</v>
      </c>
      <c r="G140" s="5" t="str">
        <f t="shared" si="59"/>
        <v>Разрешено</v>
      </c>
      <c r="L140" s="5">
        <v>11</v>
      </c>
      <c r="M140" s="5" t="s">
        <v>398</v>
      </c>
      <c r="N140" s="5" t="s">
        <v>280</v>
      </c>
      <c r="O140" s="5" t="s">
        <v>332</v>
      </c>
      <c r="P140" s="5">
        <v>36</v>
      </c>
      <c r="Q140" s="5">
        <v>25</v>
      </c>
      <c r="R140" s="5" t="s">
        <v>384</v>
      </c>
      <c r="S140" s="5">
        <f t="shared" si="60"/>
        <v>10</v>
      </c>
      <c r="T140" s="5">
        <v>15</v>
      </c>
      <c r="U140" s="5" t="s">
        <v>388</v>
      </c>
    </row>
    <row r="142" spans="2:21">
      <c r="B142" s="1" t="str">
        <f t="shared" ref="B142:B149" si="61">M142&amp;" "&amp;N142&amp;" "&amp;O142</f>
        <v>RETS Economy Big</v>
      </c>
      <c r="C142" s="2">
        <f t="shared" ref="C142:C149" si="62">L142</f>
        <v>1</v>
      </c>
      <c r="D142" s="1" t="str">
        <f t="shared" ref="D142:D149" si="63">T142-5&amp;"-"&amp;T142</f>
        <v>12-17</v>
      </c>
      <c r="E142" s="1" t="str">
        <f t="shared" ref="E142:E149" si="64">IF(R142="CNY","¥"&amp;P142&amp;" + ¥"&amp;Q142/1000&amp;"/1 г",IF(R142="USD","$"&amp;P142&amp;" + $"&amp;Q142/1000&amp;"/1 г","Error"))</f>
        <v>¥35,9 + ¥0,017/1 г</v>
      </c>
      <c r="F142" s="1" t="str">
        <f t="shared" ref="F142:F149" si="65">IF(R142="CNY","¥"&amp;P142+3.5&amp;" + ¥"&amp;Q142/1000&amp;"/1 г",IF(R142="USD","$"&amp;P142+0.49&amp;" + $"&amp;Q142/1000&amp;"/1 г","Error"))</f>
        <v>¥39,4 + ¥0,017/1 г</v>
      </c>
      <c r="G142" s="1" t="str">
        <f t="shared" ref="G142:G149" si="66">IF(OR(U142="Разрешено",U142="允许"),"Разрешено",IF(OR(U142="Запрещено",U142="禁止"),"Запрещено","Error"))</f>
        <v>Разрешено</v>
      </c>
      <c r="L142" s="1">
        <v>1</v>
      </c>
      <c r="M142" s="1" t="s">
        <v>383</v>
      </c>
      <c r="N142" s="1" t="s">
        <v>287</v>
      </c>
      <c r="O142" s="1" t="s">
        <v>332</v>
      </c>
      <c r="P142" s="1">
        <v>35.9</v>
      </c>
      <c r="Q142" s="1">
        <v>17</v>
      </c>
      <c r="R142" s="1" t="s">
        <v>384</v>
      </c>
      <c r="S142" s="1">
        <f t="shared" si="60"/>
        <v>12</v>
      </c>
      <c r="T142" s="1">
        <v>17</v>
      </c>
      <c r="U142" s="1" t="s">
        <v>388</v>
      </c>
    </row>
    <row r="143" spans="2:21">
      <c r="B143" s="1" t="str">
        <f t="shared" si="61"/>
        <v>UNI Economy Big</v>
      </c>
      <c r="C143" s="2">
        <f t="shared" si="62"/>
        <v>2</v>
      </c>
      <c r="D143" s="1" t="str">
        <f t="shared" si="63"/>
        <v>20-25</v>
      </c>
      <c r="E143" s="1" t="str">
        <f t="shared" si="64"/>
        <v>$4,95 + $0,00234/1 г</v>
      </c>
      <c r="F143" s="1" t="str">
        <f t="shared" si="65"/>
        <v>$5,44 + $0,00234/1 г</v>
      </c>
      <c r="G143" s="1" t="str">
        <f t="shared" si="66"/>
        <v>Разрешено</v>
      </c>
      <c r="L143" s="1">
        <v>2</v>
      </c>
      <c r="M143" s="1" t="s">
        <v>386</v>
      </c>
      <c r="N143" s="1" t="s">
        <v>287</v>
      </c>
      <c r="O143" s="1" t="s">
        <v>332</v>
      </c>
      <c r="P143" s="1">
        <v>4.95</v>
      </c>
      <c r="Q143" s="1">
        <v>2.34</v>
      </c>
      <c r="R143" s="1" t="s">
        <v>387</v>
      </c>
      <c r="S143" s="1">
        <f t="shared" si="60"/>
        <v>20</v>
      </c>
      <c r="T143" s="1">
        <v>25</v>
      </c>
      <c r="U143" s="1" t="s">
        <v>388</v>
      </c>
    </row>
    <row r="144" spans="2:21">
      <c r="B144" s="1" t="str">
        <f t="shared" si="61"/>
        <v>CEL Economy Big</v>
      </c>
      <c r="C144" s="2">
        <f t="shared" si="62"/>
        <v>3</v>
      </c>
      <c r="D144" s="1" t="str">
        <f t="shared" si="63"/>
        <v>15-20</v>
      </c>
      <c r="E144" s="1" t="str">
        <f t="shared" si="64"/>
        <v>¥35,9 + ¥0,017/1 г</v>
      </c>
      <c r="F144" s="1" t="str">
        <f t="shared" si="65"/>
        <v>¥39,4 + ¥0,017/1 г</v>
      </c>
      <c r="G144" s="1" t="str">
        <f t="shared" si="66"/>
        <v>Разрешено</v>
      </c>
      <c r="L144" s="1">
        <v>3</v>
      </c>
      <c r="M144" s="1" t="s">
        <v>392</v>
      </c>
      <c r="N144" s="1" t="s">
        <v>287</v>
      </c>
      <c r="O144" s="1" t="s">
        <v>332</v>
      </c>
      <c r="P144" s="1">
        <v>35.9</v>
      </c>
      <c r="Q144" s="1">
        <v>17</v>
      </c>
      <c r="R144" s="1" t="s">
        <v>384</v>
      </c>
      <c r="S144" s="1">
        <f t="shared" si="60"/>
        <v>15</v>
      </c>
      <c r="T144" s="1">
        <v>20</v>
      </c>
      <c r="U144" s="1" t="s">
        <v>277</v>
      </c>
    </row>
    <row r="145" spans="2:21">
      <c r="B145" s="1" t="str">
        <f t="shared" si="61"/>
        <v>IML Economy Big</v>
      </c>
      <c r="C145" s="2">
        <f t="shared" si="62"/>
        <v>4</v>
      </c>
      <c r="D145" s="1" t="str">
        <f t="shared" si="63"/>
        <v>14-19</v>
      </c>
      <c r="E145" s="1" t="str">
        <f t="shared" si="64"/>
        <v>¥35,95 + ¥0,017/1 г</v>
      </c>
      <c r="F145" s="1" t="str">
        <f t="shared" si="65"/>
        <v>¥39,45 + ¥0,017/1 г</v>
      </c>
      <c r="G145" s="1" t="str">
        <f t="shared" si="66"/>
        <v>Разрешено</v>
      </c>
      <c r="L145" s="1">
        <v>4</v>
      </c>
      <c r="M145" s="1" t="s">
        <v>395</v>
      </c>
      <c r="N145" s="1" t="s">
        <v>287</v>
      </c>
      <c r="O145" s="1" t="s">
        <v>332</v>
      </c>
      <c r="P145" s="1">
        <v>35.95</v>
      </c>
      <c r="Q145" s="1">
        <v>17</v>
      </c>
      <c r="R145" s="1" t="s">
        <v>384</v>
      </c>
      <c r="S145" s="1">
        <f t="shared" si="60"/>
        <v>14</v>
      </c>
      <c r="T145" s="1">
        <v>19</v>
      </c>
      <c r="U145" s="1" t="s">
        <v>277</v>
      </c>
    </row>
    <row r="146" spans="2:21">
      <c r="B146" s="1" t="str">
        <f t="shared" si="61"/>
        <v>Tanais Economy Big</v>
      </c>
      <c r="C146" s="2">
        <f t="shared" si="62"/>
        <v>4</v>
      </c>
      <c r="D146" s="1" t="str">
        <f t="shared" si="63"/>
        <v>17-22</v>
      </c>
      <c r="E146" s="1" t="str">
        <f t="shared" si="64"/>
        <v>¥36 + ¥0,0169/1 г</v>
      </c>
      <c r="F146" s="1" t="str">
        <f t="shared" si="65"/>
        <v>¥39,5 + ¥0,0169/1 г</v>
      </c>
      <c r="G146" s="1" t="str">
        <f t="shared" si="66"/>
        <v>Разрешено</v>
      </c>
      <c r="L146" s="1">
        <v>4</v>
      </c>
      <c r="M146" s="1" t="s">
        <v>394</v>
      </c>
      <c r="N146" s="1" t="s">
        <v>287</v>
      </c>
      <c r="O146" s="1" t="s">
        <v>332</v>
      </c>
      <c r="P146" s="1">
        <v>36</v>
      </c>
      <c r="Q146" s="1">
        <v>16.9</v>
      </c>
      <c r="R146" s="1" t="s">
        <v>384</v>
      </c>
      <c r="S146" s="1">
        <f t="shared" si="60"/>
        <v>17</v>
      </c>
      <c r="T146" s="1">
        <v>22</v>
      </c>
      <c r="U146" s="1" t="s">
        <v>388</v>
      </c>
    </row>
    <row r="147" spans="2:21">
      <c r="B147" s="1" t="str">
        <f t="shared" si="61"/>
        <v>GUOO Economy Big</v>
      </c>
      <c r="C147" s="2">
        <f t="shared" si="62"/>
        <v>6</v>
      </c>
      <c r="D147" s="1" t="str">
        <f t="shared" si="63"/>
        <v>15-20</v>
      </c>
      <c r="E147" s="1" t="str">
        <f t="shared" si="64"/>
        <v>¥36 + ¥0,017/1 г</v>
      </c>
      <c r="F147" s="1" t="str">
        <f t="shared" si="65"/>
        <v>¥39,5 + ¥0,017/1 г</v>
      </c>
      <c r="G147" s="1" t="str">
        <f t="shared" si="66"/>
        <v>Разрешено</v>
      </c>
      <c r="L147" s="1">
        <v>6</v>
      </c>
      <c r="M147" s="1" t="s">
        <v>397</v>
      </c>
      <c r="N147" s="1" t="s">
        <v>287</v>
      </c>
      <c r="O147" s="1" t="s">
        <v>332</v>
      </c>
      <c r="P147" s="1">
        <v>36</v>
      </c>
      <c r="Q147" s="1">
        <v>17</v>
      </c>
      <c r="R147" s="1" t="s">
        <v>384</v>
      </c>
      <c r="S147" s="1">
        <f t="shared" si="60"/>
        <v>15</v>
      </c>
      <c r="T147" s="1">
        <v>20</v>
      </c>
      <c r="U147" s="1" t="s">
        <v>277</v>
      </c>
    </row>
    <row r="148" spans="2:21">
      <c r="B148" s="1" t="str">
        <f t="shared" si="61"/>
        <v>ATC Economy Big</v>
      </c>
      <c r="C148" s="2">
        <f t="shared" si="62"/>
        <v>7</v>
      </c>
      <c r="D148" s="1" t="str">
        <f t="shared" si="63"/>
        <v>20-25</v>
      </c>
      <c r="E148" s="1" t="str">
        <f t="shared" si="64"/>
        <v>¥36 + ¥0,017/1 г</v>
      </c>
      <c r="F148" s="1" t="str">
        <f t="shared" si="65"/>
        <v>¥39,5 + ¥0,017/1 г</v>
      </c>
      <c r="G148" s="1" t="str">
        <f t="shared" si="66"/>
        <v>Разрешено</v>
      </c>
      <c r="L148" s="1">
        <v>7</v>
      </c>
      <c r="M148" s="1" t="s">
        <v>399</v>
      </c>
      <c r="N148" s="1" t="s">
        <v>287</v>
      </c>
      <c r="O148" s="1" t="s">
        <v>332</v>
      </c>
      <c r="P148" s="1">
        <v>36</v>
      </c>
      <c r="Q148" s="1">
        <v>17</v>
      </c>
      <c r="R148" s="1" t="s">
        <v>384</v>
      </c>
      <c r="S148" s="1">
        <f t="shared" si="60"/>
        <v>20</v>
      </c>
      <c r="T148" s="1">
        <v>25</v>
      </c>
      <c r="U148" s="1" t="s">
        <v>388</v>
      </c>
    </row>
    <row r="149" s="5" customFormat="1" spans="2:21">
      <c r="B149" s="5" t="str">
        <f t="shared" si="61"/>
        <v>TFS Economy Big</v>
      </c>
      <c r="C149" s="8">
        <f t="shared" si="62"/>
        <v>8</v>
      </c>
      <c r="D149" s="5" t="str">
        <f t="shared" si="63"/>
        <v>15-20</v>
      </c>
      <c r="E149" s="5" t="str">
        <f t="shared" si="64"/>
        <v>¥36 + ¥0,017/1 г</v>
      </c>
      <c r="F149" s="5" t="str">
        <f t="shared" si="65"/>
        <v>¥39,5 + ¥0,017/1 г</v>
      </c>
      <c r="G149" s="5" t="str">
        <f t="shared" si="66"/>
        <v>Разрешено</v>
      </c>
      <c r="L149" s="5">
        <v>8</v>
      </c>
      <c r="M149" s="5" t="s">
        <v>398</v>
      </c>
      <c r="N149" s="5" t="s">
        <v>287</v>
      </c>
      <c r="O149" s="5" t="s">
        <v>332</v>
      </c>
      <c r="P149" s="5">
        <v>36</v>
      </c>
      <c r="Q149" s="5">
        <v>17</v>
      </c>
      <c r="R149" s="5" t="s">
        <v>384</v>
      </c>
      <c r="S149" s="5">
        <f t="shared" si="60"/>
        <v>15</v>
      </c>
      <c r="T149" s="5">
        <v>20</v>
      </c>
      <c r="U149" s="5" t="s">
        <v>388</v>
      </c>
    </row>
    <row r="151" spans="2:21">
      <c r="B151" s="1" t="str">
        <f t="shared" ref="B151:B160" si="67">M151&amp;" "&amp;N151&amp;" "&amp;O151</f>
        <v>RETS Express Premium Small</v>
      </c>
      <c r="C151" s="2">
        <f t="shared" ref="C151:C159" si="68">L151</f>
        <v>1</v>
      </c>
      <c r="D151" s="1" t="str">
        <f t="shared" ref="D151:D160" si="69">T151-5&amp;"-"&amp;T151</f>
        <v>3-8</v>
      </c>
      <c r="E151" s="1" t="str">
        <f t="shared" ref="E151:E160" si="70">IF(R151="CNY","¥"&amp;P151&amp;" + ¥"&amp;Q151/1000&amp;"/1 г",IF(R151="USD","$"&amp;P151&amp;" + $"&amp;Q151/1000&amp;"/1 г","Error"))</f>
        <v>¥22 + ¥0,041/1 г</v>
      </c>
      <c r="F151" s="1" t="str">
        <f t="shared" ref="F151:F160" si="71">IF(R151="CNY","¥"&amp;P151+3.5&amp;" + ¥"&amp;Q151/1000&amp;"/1 г",IF(R151="USD","$"&amp;P151+0.49&amp;" + $"&amp;Q151/1000&amp;"/1 г","Error"))</f>
        <v>¥25,5 + ¥0,041/1 г</v>
      </c>
      <c r="G151" s="1" t="str">
        <f t="shared" ref="G151:G160" si="72">IF(OR(U151="Разрешено",U151="允许"),"Разрешено",IF(OR(U151="Запрещено",U151="禁止"),"Запрещено","Error"))</f>
        <v>Запрещено</v>
      </c>
      <c r="L151" s="1">
        <v>1</v>
      </c>
      <c r="M151" s="1" t="s">
        <v>383</v>
      </c>
      <c r="N151" s="1" t="s">
        <v>261</v>
      </c>
      <c r="O151" s="1" t="s">
        <v>345</v>
      </c>
      <c r="P151" s="1">
        <v>22</v>
      </c>
      <c r="Q151" s="1">
        <v>41</v>
      </c>
      <c r="R151" s="1" t="s">
        <v>384</v>
      </c>
      <c r="S151" s="1">
        <f t="shared" si="60"/>
        <v>3</v>
      </c>
      <c r="T151" s="1">
        <v>8</v>
      </c>
      <c r="U151" s="1" t="s">
        <v>385</v>
      </c>
    </row>
    <row r="152" spans="2:21">
      <c r="B152" s="1" t="str">
        <f t="shared" si="67"/>
        <v>CEL Express Premium Small</v>
      </c>
      <c r="C152" s="2">
        <f t="shared" si="68"/>
        <v>2</v>
      </c>
      <c r="D152" s="1" t="str">
        <f t="shared" si="69"/>
        <v>5-10</v>
      </c>
      <c r="E152" s="1" t="str">
        <f t="shared" si="70"/>
        <v>¥20 + ¥0,04/1 г</v>
      </c>
      <c r="F152" s="1" t="str">
        <f t="shared" si="71"/>
        <v>¥23,5 + ¥0,04/1 г</v>
      </c>
      <c r="G152" s="1" t="str">
        <f t="shared" si="72"/>
        <v>Запрещено</v>
      </c>
      <c r="L152" s="1">
        <v>2</v>
      </c>
      <c r="M152" s="1" t="s">
        <v>392</v>
      </c>
      <c r="N152" s="1" t="s">
        <v>261</v>
      </c>
      <c r="O152" s="1" t="s">
        <v>345</v>
      </c>
      <c r="P152" s="1">
        <v>20</v>
      </c>
      <c r="Q152" s="1">
        <v>40</v>
      </c>
      <c r="R152" s="1" t="s">
        <v>384</v>
      </c>
      <c r="S152" s="1">
        <f t="shared" si="60"/>
        <v>5</v>
      </c>
      <c r="T152" s="1">
        <v>10</v>
      </c>
      <c r="U152" s="1" t="s">
        <v>264</v>
      </c>
    </row>
    <row r="153" spans="2:21">
      <c r="B153" s="1" t="str">
        <f t="shared" si="67"/>
        <v>UNI Express Premium Small</v>
      </c>
      <c r="C153" s="2">
        <f t="shared" si="68"/>
        <v>3</v>
      </c>
      <c r="D153" s="1" t="str">
        <f t="shared" si="69"/>
        <v>5-10</v>
      </c>
      <c r="E153" s="1" t="str">
        <f t="shared" si="70"/>
        <v>$2,95 + $0,0055/1 г</v>
      </c>
      <c r="F153" s="1" t="str">
        <f t="shared" si="71"/>
        <v>$3,44 + $0,0055/1 г</v>
      </c>
      <c r="G153" s="1" t="str">
        <f t="shared" si="72"/>
        <v>Разрешено</v>
      </c>
      <c r="L153" s="1">
        <v>3</v>
      </c>
      <c r="M153" s="1" t="s">
        <v>386</v>
      </c>
      <c r="N153" s="1" t="s">
        <v>261</v>
      </c>
      <c r="O153" s="1" t="s">
        <v>345</v>
      </c>
      <c r="P153" s="1">
        <v>2.95</v>
      </c>
      <c r="Q153" s="1">
        <v>5.5</v>
      </c>
      <c r="R153" s="1" t="s">
        <v>387</v>
      </c>
      <c r="S153" s="1">
        <f t="shared" si="60"/>
        <v>5</v>
      </c>
      <c r="T153" s="1">
        <v>10</v>
      </c>
      <c r="U153" s="1" t="s">
        <v>388</v>
      </c>
    </row>
    <row r="154" spans="2:21">
      <c r="B154" s="1" t="str">
        <f t="shared" si="67"/>
        <v>GBS Express Premium Small</v>
      </c>
      <c r="C154" s="2">
        <f t="shared" si="68"/>
        <v>4</v>
      </c>
      <c r="D154" s="1" t="str">
        <f t="shared" si="69"/>
        <v>5-10</v>
      </c>
      <c r="E154" s="1" t="str">
        <f t="shared" si="70"/>
        <v>¥22 + ¥0,04275/1 г</v>
      </c>
      <c r="F154" s="1" t="str">
        <f t="shared" si="71"/>
        <v>¥25,5 + ¥0,04275/1 г</v>
      </c>
      <c r="G154" s="1" t="str">
        <f t="shared" si="72"/>
        <v>Запрещено</v>
      </c>
      <c r="L154" s="1">
        <v>4</v>
      </c>
      <c r="M154" s="1" t="s">
        <v>402</v>
      </c>
      <c r="N154" s="1" t="s">
        <v>261</v>
      </c>
      <c r="O154" s="1" t="s">
        <v>345</v>
      </c>
      <c r="P154" s="1">
        <v>22</v>
      </c>
      <c r="Q154" s="1">
        <v>42.75</v>
      </c>
      <c r="R154" s="1" t="s">
        <v>384</v>
      </c>
      <c r="S154" s="1">
        <f t="shared" si="60"/>
        <v>5</v>
      </c>
      <c r="T154" s="1">
        <v>10</v>
      </c>
      <c r="U154" s="1" t="s">
        <v>385</v>
      </c>
    </row>
    <row r="155" spans="2:21">
      <c r="B155" s="1" t="str">
        <f t="shared" si="67"/>
        <v>ZTO Express Premium Small</v>
      </c>
      <c r="C155" s="2">
        <f t="shared" si="68"/>
        <v>5</v>
      </c>
      <c r="D155" s="1" t="str">
        <f t="shared" si="69"/>
        <v>5-10</v>
      </c>
      <c r="E155" s="1" t="str">
        <f t="shared" si="70"/>
        <v>¥22 + ¥0,045/1 г</v>
      </c>
      <c r="F155" s="1" t="str">
        <f t="shared" si="71"/>
        <v>¥25,5 + ¥0,045/1 г</v>
      </c>
      <c r="G155" s="1" t="str">
        <f t="shared" si="72"/>
        <v>Запрещено</v>
      </c>
      <c r="L155" s="1">
        <v>5</v>
      </c>
      <c r="M155" s="1" t="s">
        <v>393</v>
      </c>
      <c r="N155" s="1" t="s">
        <v>261</v>
      </c>
      <c r="O155" s="1" t="s">
        <v>345</v>
      </c>
      <c r="P155" s="1">
        <v>22</v>
      </c>
      <c r="Q155" s="1">
        <v>45</v>
      </c>
      <c r="R155" s="1" t="s">
        <v>384</v>
      </c>
      <c r="S155" s="1">
        <f t="shared" si="60"/>
        <v>5</v>
      </c>
      <c r="T155" s="1">
        <v>10</v>
      </c>
      <c r="U155" s="1" t="s">
        <v>264</v>
      </c>
    </row>
    <row r="156" spans="2:21">
      <c r="B156" s="1" t="str">
        <f t="shared" si="67"/>
        <v>IML Express Premium Small</v>
      </c>
      <c r="C156" s="2">
        <f t="shared" si="68"/>
        <v>6</v>
      </c>
      <c r="D156" s="1" t="str">
        <f t="shared" si="69"/>
        <v>3-8</v>
      </c>
      <c r="E156" s="1" t="str">
        <f t="shared" si="70"/>
        <v>¥21,95 + ¥0,045/1 г</v>
      </c>
      <c r="F156" s="1" t="str">
        <f t="shared" si="71"/>
        <v>¥25,45 + ¥0,045/1 г</v>
      </c>
      <c r="G156" s="1" t="str">
        <f t="shared" si="72"/>
        <v>Разрешено</v>
      </c>
      <c r="L156" s="1">
        <v>6</v>
      </c>
      <c r="M156" s="1" t="s">
        <v>395</v>
      </c>
      <c r="N156" s="1" t="s">
        <v>261</v>
      </c>
      <c r="O156" s="1" t="s">
        <v>345</v>
      </c>
      <c r="P156" s="1">
        <v>21.95</v>
      </c>
      <c r="Q156" s="1">
        <v>45</v>
      </c>
      <c r="R156" s="1" t="s">
        <v>384</v>
      </c>
      <c r="S156" s="1">
        <f t="shared" si="60"/>
        <v>3</v>
      </c>
      <c r="T156" s="1">
        <v>8</v>
      </c>
      <c r="U156" s="1" t="s">
        <v>277</v>
      </c>
    </row>
    <row r="157" spans="2:21">
      <c r="B157" s="1" t="str">
        <f t="shared" si="67"/>
        <v>Ural Express Premium Small</v>
      </c>
      <c r="C157" s="2">
        <f t="shared" si="68"/>
        <v>7</v>
      </c>
      <c r="D157" s="1" t="str">
        <f t="shared" si="69"/>
        <v>5-10</v>
      </c>
      <c r="E157" s="1" t="str">
        <f t="shared" si="70"/>
        <v>¥22 + ¥0,045/1 г</v>
      </c>
      <c r="F157" s="1" t="str">
        <f t="shared" si="71"/>
        <v>¥25,5 + ¥0,045/1 г</v>
      </c>
      <c r="G157" s="1" t="str">
        <f t="shared" si="72"/>
        <v>Запрещено</v>
      </c>
      <c r="L157" s="1">
        <v>7</v>
      </c>
      <c r="M157" s="1" t="s">
        <v>396</v>
      </c>
      <c r="N157" s="1" t="s">
        <v>261</v>
      </c>
      <c r="O157" s="1" t="s">
        <v>345</v>
      </c>
      <c r="P157" s="1">
        <v>22</v>
      </c>
      <c r="Q157" s="1">
        <v>45</v>
      </c>
      <c r="R157" s="1" t="s">
        <v>384</v>
      </c>
      <c r="S157" s="1">
        <f t="shared" si="60"/>
        <v>5</v>
      </c>
      <c r="T157" s="1">
        <v>10</v>
      </c>
      <c r="U157" s="1" t="s">
        <v>264</v>
      </c>
    </row>
    <row r="158" spans="2:21">
      <c r="B158" s="1" t="str">
        <f t="shared" si="67"/>
        <v>GUOO Express Premium Small</v>
      </c>
      <c r="C158" s="2">
        <f t="shared" si="68"/>
        <v>8</v>
      </c>
      <c r="D158" s="1" t="str">
        <f t="shared" si="69"/>
        <v>5-10</v>
      </c>
      <c r="E158" s="1" t="str">
        <f t="shared" si="70"/>
        <v>¥22 + ¥0,045/1 г</v>
      </c>
      <c r="F158" s="1" t="str">
        <f t="shared" si="71"/>
        <v>¥25,5 + ¥0,045/1 г</v>
      </c>
      <c r="G158" s="1" t="str">
        <f t="shared" si="72"/>
        <v>Запрещено</v>
      </c>
      <c r="L158" s="1">
        <v>8</v>
      </c>
      <c r="M158" s="1" t="s">
        <v>397</v>
      </c>
      <c r="N158" s="1" t="s">
        <v>261</v>
      </c>
      <c r="O158" s="1" t="s">
        <v>345</v>
      </c>
      <c r="P158" s="1">
        <v>22</v>
      </c>
      <c r="Q158" s="1">
        <v>45</v>
      </c>
      <c r="R158" s="1" t="s">
        <v>384</v>
      </c>
      <c r="S158" s="1">
        <f t="shared" si="60"/>
        <v>5</v>
      </c>
      <c r="T158" s="1">
        <v>10</v>
      </c>
      <c r="U158" s="1" t="s">
        <v>264</v>
      </c>
    </row>
    <row r="159" s="5" customFormat="1" spans="2:21">
      <c r="B159" s="5" t="str">
        <f t="shared" si="67"/>
        <v>TFS Express Premium Small</v>
      </c>
      <c r="C159" s="8">
        <f t="shared" si="68"/>
        <v>9</v>
      </c>
      <c r="D159" s="5" t="str">
        <f t="shared" si="69"/>
        <v>5-10</v>
      </c>
      <c r="E159" s="5" t="str">
        <f t="shared" si="70"/>
        <v>¥22 + ¥0,045/1 г</v>
      </c>
      <c r="F159" s="5" t="str">
        <f t="shared" si="71"/>
        <v>¥25,5 + ¥0,045/1 г</v>
      </c>
      <c r="G159" s="5" t="str">
        <f t="shared" si="72"/>
        <v>Разрешено</v>
      </c>
      <c r="L159" s="5">
        <v>9</v>
      </c>
      <c r="M159" s="5" t="s">
        <v>398</v>
      </c>
      <c r="N159" s="5" t="s">
        <v>261</v>
      </c>
      <c r="O159" s="5" t="s">
        <v>345</v>
      </c>
      <c r="P159" s="5">
        <v>22</v>
      </c>
      <c r="Q159" s="5">
        <v>45</v>
      </c>
      <c r="R159" s="5" t="s">
        <v>384</v>
      </c>
      <c r="S159" s="5">
        <f t="shared" si="60"/>
        <v>5</v>
      </c>
      <c r="T159" s="5">
        <v>10</v>
      </c>
      <c r="U159" s="5" t="s">
        <v>388</v>
      </c>
    </row>
    <row r="160" spans="2:21">
      <c r="B160" s="1" t="str">
        <f t="shared" si="67"/>
        <v>ETS Express Premium Small</v>
      </c>
      <c r="C160" s="9">
        <v>9</v>
      </c>
      <c r="D160" s="1" t="str">
        <f t="shared" si="69"/>
        <v>5-10</v>
      </c>
      <c r="E160" s="1" t="str">
        <f t="shared" si="70"/>
        <v>$3,06 + $0,00625/1 г</v>
      </c>
      <c r="F160" s="1" t="str">
        <f t="shared" si="71"/>
        <v>$3,55 + $0,00625/1 г</v>
      </c>
      <c r="G160" s="1" t="str">
        <f t="shared" si="72"/>
        <v>Разрешено</v>
      </c>
      <c r="L160" s="1">
        <v>10</v>
      </c>
      <c r="M160" s="1" t="s">
        <v>403</v>
      </c>
      <c r="N160" s="1" t="s">
        <v>261</v>
      </c>
      <c r="O160" s="1" t="s">
        <v>345</v>
      </c>
      <c r="P160" s="1">
        <v>3.06</v>
      </c>
      <c r="Q160" s="1">
        <v>6.25</v>
      </c>
      <c r="R160" s="1" t="s">
        <v>387</v>
      </c>
      <c r="S160" s="1">
        <f t="shared" si="60"/>
        <v>5</v>
      </c>
      <c r="T160" s="1">
        <v>10</v>
      </c>
      <c r="U160" s="1" t="s">
        <v>388</v>
      </c>
    </row>
    <row r="162" spans="2:21">
      <c r="B162" s="1" t="str">
        <f t="shared" ref="B162:B175" si="73">M162&amp;" "&amp;N162&amp;" "&amp;O162</f>
        <v>ABT  Standard Premium Small</v>
      </c>
      <c r="C162" s="2">
        <f t="shared" ref="C162:C174" si="74">L162</f>
        <v>1</v>
      </c>
      <c r="D162" s="1" t="str">
        <f t="shared" ref="D162:D175" si="75">T162-5&amp;"-"&amp;T162</f>
        <v>10-15</v>
      </c>
      <c r="E162" s="1" t="str">
        <f t="shared" ref="E162:E175" si="76">IF(R162="CNY","¥"&amp;P162&amp;" + ¥"&amp;Q162/1000&amp;"/1 г",IF(R162="USD","$"&amp;P162&amp;" + $"&amp;Q162/1000&amp;"/1 г","Error"))</f>
        <v>¥20 + ¥0,026/1 г</v>
      </c>
      <c r="F162" s="1" t="str">
        <f t="shared" ref="F162:F175" si="77">IF(R162="CNY","¥"&amp;P162+3.5&amp;" + ¥"&amp;Q162/1000&amp;"/1 г",IF(R162="USD","$"&amp;P162+0.49&amp;" + $"&amp;Q162/1000&amp;"/1 г","Error"))</f>
        <v>¥23,5 + ¥0,026/1 г</v>
      </c>
      <c r="G162" s="1" t="str">
        <f t="shared" ref="G162:G175" si="78">IF(OR(U162="Разрешено",U162="允许"),"Разрешено",IF(OR(U162="Запрещено",U162="禁止"),"Запрещено","Error"))</f>
        <v>Разрешено</v>
      </c>
      <c r="L162" s="1">
        <v>1</v>
      </c>
      <c r="M162" s="1" t="s">
        <v>389</v>
      </c>
      <c r="N162" s="1" t="s">
        <v>280</v>
      </c>
      <c r="O162" s="1" t="s">
        <v>345</v>
      </c>
      <c r="P162" s="1">
        <v>20</v>
      </c>
      <c r="Q162" s="1">
        <v>26</v>
      </c>
      <c r="R162" s="1" t="s">
        <v>384</v>
      </c>
      <c r="S162" s="1">
        <f t="shared" si="60"/>
        <v>10</v>
      </c>
      <c r="T162" s="1">
        <v>15</v>
      </c>
      <c r="U162" s="1" t="s">
        <v>277</v>
      </c>
    </row>
    <row r="163" spans="2:21">
      <c r="B163" s="1" t="str">
        <f t="shared" si="73"/>
        <v>OYX  Standard Premium Small</v>
      </c>
      <c r="C163" s="2">
        <f t="shared" si="74"/>
        <v>2</v>
      </c>
      <c r="D163" s="1" t="str">
        <f t="shared" si="75"/>
        <v>10-15</v>
      </c>
      <c r="E163" s="1" t="str">
        <f t="shared" si="76"/>
        <v>¥19 + ¥0,0268/1 г</v>
      </c>
      <c r="F163" s="1" t="str">
        <f t="shared" si="77"/>
        <v>¥22,5 + ¥0,0268/1 г</v>
      </c>
      <c r="G163" s="1" t="str">
        <f t="shared" si="78"/>
        <v>Разрешено</v>
      </c>
      <c r="L163" s="1">
        <v>2</v>
      </c>
      <c r="M163" s="1" t="s">
        <v>390</v>
      </c>
      <c r="N163" s="1" t="s">
        <v>280</v>
      </c>
      <c r="O163" s="1" t="s">
        <v>345</v>
      </c>
      <c r="P163" s="1">
        <v>19</v>
      </c>
      <c r="Q163" s="1">
        <v>26.8</v>
      </c>
      <c r="R163" s="1" t="s">
        <v>384</v>
      </c>
      <c r="S163" s="1">
        <f t="shared" si="60"/>
        <v>10</v>
      </c>
      <c r="T163" s="1">
        <v>15</v>
      </c>
      <c r="U163" s="1" t="s">
        <v>277</v>
      </c>
    </row>
    <row r="164" spans="2:21">
      <c r="B164" s="1" t="str">
        <f t="shared" si="73"/>
        <v>UNI Standard Premium Small</v>
      </c>
      <c r="C164" s="2">
        <f t="shared" si="74"/>
        <v>2</v>
      </c>
      <c r="D164" s="1" t="str">
        <f t="shared" si="75"/>
        <v>10-15</v>
      </c>
      <c r="E164" s="1" t="str">
        <f t="shared" si="76"/>
        <v>$2,68 + $0,00362/1 г</v>
      </c>
      <c r="F164" s="1" t="str">
        <f t="shared" si="77"/>
        <v>$3,17 + $0,00362/1 г</v>
      </c>
      <c r="G164" s="1" t="str">
        <f t="shared" si="78"/>
        <v>Разрешено</v>
      </c>
      <c r="L164" s="1">
        <v>2</v>
      </c>
      <c r="M164" s="1" t="s">
        <v>386</v>
      </c>
      <c r="N164" s="1" t="s">
        <v>280</v>
      </c>
      <c r="O164" s="1" t="s">
        <v>345</v>
      </c>
      <c r="P164" s="1">
        <v>2.68</v>
      </c>
      <c r="Q164" s="1">
        <v>3.62</v>
      </c>
      <c r="R164" s="1" t="s">
        <v>387</v>
      </c>
      <c r="S164" s="1">
        <f t="shared" si="60"/>
        <v>10</v>
      </c>
      <c r="T164" s="1">
        <v>15</v>
      </c>
      <c r="U164" s="1" t="s">
        <v>388</v>
      </c>
    </row>
    <row r="165" spans="2:21">
      <c r="B165" s="1" t="str">
        <f t="shared" si="73"/>
        <v>RETS Standard Premium Small</v>
      </c>
      <c r="C165" s="2">
        <f t="shared" si="74"/>
        <v>4</v>
      </c>
      <c r="D165" s="1" t="str">
        <f t="shared" si="75"/>
        <v>7-12</v>
      </c>
      <c r="E165" s="1" t="str">
        <f t="shared" si="76"/>
        <v>¥20 + ¥0,032/1 г</v>
      </c>
      <c r="F165" s="1" t="str">
        <f t="shared" si="77"/>
        <v>¥23,5 + ¥0,032/1 г</v>
      </c>
      <c r="G165" s="1" t="str">
        <f t="shared" si="78"/>
        <v>Разрешено</v>
      </c>
      <c r="L165" s="1">
        <v>4</v>
      </c>
      <c r="M165" s="1" t="s">
        <v>383</v>
      </c>
      <c r="N165" s="1" t="s">
        <v>280</v>
      </c>
      <c r="O165" s="1" t="s">
        <v>345</v>
      </c>
      <c r="P165" s="1">
        <v>20</v>
      </c>
      <c r="Q165" s="1">
        <v>32</v>
      </c>
      <c r="R165" s="1" t="s">
        <v>384</v>
      </c>
      <c r="S165" s="1">
        <f t="shared" si="60"/>
        <v>7</v>
      </c>
      <c r="T165" s="1">
        <v>12</v>
      </c>
      <c r="U165" s="1" t="s">
        <v>388</v>
      </c>
    </row>
    <row r="166" spans="2:21">
      <c r="B166" s="1" t="str">
        <f t="shared" si="73"/>
        <v>Xingyuan Standard Premium Small</v>
      </c>
      <c r="C166" s="2">
        <f t="shared" si="74"/>
        <v>5</v>
      </c>
      <c r="D166" s="1" t="str">
        <f t="shared" si="75"/>
        <v>10-15</v>
      </c>
      <c r="E166" s="1" t="str">
        <f t="shared" si="76"/>
        <v>¥19 + ¥0,027/1 г</v>
      </c>
      <c r="F166" s="1" t="str">
        <f t="shared" si="77"/>
        <v>¥22,5 + ¥0,027/1 г</v>
      </c>
      <c r="G166" s="1" t="str">
        <f t="shared" si="78"/>
        <v>Разрешено</v>
      </c>
      <c r="L166" s="1">
        <v>5</v>
      </c>
      <c r="M166" s="1" t="s">
        <v>391</v>
      </c>
      <c r="N166" s="1" t="s">
        <v>280</v>
      </c>
      <c r="O166" s="1" t="s">
        <v>345</v>
      </c>
      <c r="P166" s="1">
        <v>19</v>
      </c>
      <c r="Q166" s="1">
        <v>27</v>
      </c>
      <c r="R166" s="1" t="s">
        <v>384</v>
      </c>
      <c r="S166" s="1">
        <f t="shared" si="60"/>
        <v>10</v>
      </c>
      <c r="T166" s="1">
        <v>15</v>
      </c>
      <c r="U166" s="1" t="s">
        <v>277</v>
      </c>
    </row>
    <row r="167" spans="2:21">
      <c r="B167" s="1" t="str">
        <f t="shared" si="73"/>
        <v>CEL Standard Premium Small</v>
      </c>
      <c r="C167" s="2">
        <f t="shared" si="74"/>
        <v>6</v>
      </c>
      <c r="D167" s="1" t="str">
        <f t="shared" si="75"/>
        <v>8-13</v>
      </c>
      <c r="E167" s="1" t="str">
        <f t="shared" si="76"/>
        <v>¥20 + ¥0,0269/1 г</v>
      </c>
      <c r="F167" s="1" t="str">
        <f t="shared" si="77"/>
        <v>¥23,5 + ¥0,0269/1 г</v>
      </c>
      <c r="G167" s="1" t="str">
        <f t="shared" si="78"/>
        <v>Разрешено</v>
      </c>
      <c r="L167" s="1">
        <v>6</v>
      </c>
      <c r="M167" s="1" t="s">
        <v>392</v>
      </c>
      <c r="N167" s="1" t="s">
        <v>280</v>
      </c>
      <c r="O167" s="1" t="s">
        <v>345</v>
      </c>
      <c r="P167" s="1">
        <v>20</v>
      </c>
      <c r="Q167" s="1">
        <v>26.9</v>
      </c>
      <c r="R167" s="1" t="s">
        <v>384</v>
      </c>
      <c r="S167" s="1">
        <f t="shared" si="60"/>
        <v>8</v>
      </c>
      <c r="T167" s="1">
        <v>13</v>
      </c>
      <c r="U167" s="1" t="s">
        <v>277</v>
      </c>
    </row>
    <row r="168" spans="2:21">
      <c r="B168" s="1" t="str">
        <f t="shared" si="73"/>
        <v>Ural Standard Premium Small</v>
      </c>
      <c r="C168" s="2">
        <f t="shared" si="74"/>
        <v>7</v>
      </c>
      <c r="D168" s="1" t="str">
        <f t="shared" si="75"/>
        <v>10-15</v>
      </c>
      <c r="E168" s="1" t="str">
        <f t="shared" si="76"/>
        <v>¥22 + ¥0,032/1 г</v>
      </c>
      <c r="F168" s="1" t="str">
        <f t="shared" si="77"/>
        <v>¥25,5 + ¥0,032/1 г</v>
      </c>
      <c r="G168" s="1" t="str">
        <f t="shared" si="78"/>
        <v>Разрешено</v>
      </c>
      <c r="L168" s="1">
        <v>7</v>
      </c>
      <c r="M168" s="1" t="s">
        <v>396</v>
      </c>
      <c r="N168" s="1" t="s">
        <v>280</v>
      </c>
      <c r="O168" s="1" t="s">
        <v>345</v>
      </c>
      <c r="P168" s="1">
        <v>22</v>
      </c>
      <c r="Q168" s="1">
        <v>32</v>
      </c>
      <c r="R168" s="1" t="s">
        <v>384</v>
      </c>
      <c r="S168" s="1">
        <f t="shared" si="60"/>
        <v>10</v>
      </c>
      <c r="T168" s="1">
        <v>15</v>
      </c>
      <c r="U168" s="1" t="s">
        <v>277</v>
      </c>
    </row>
    <row r="169" spans="2:21">
      <c r="B169" s="1" t="str">
        <f t="shared" si="73"/>
        <v>GBS Standard Premium Small</v>
      </c>
      <c r="C169" s="2">
        <f t="shared" si="74"/>
        <v>8</v>
      </c>
      <c r="D169" s="1" t="str">
        <f t="shared" si="75"/>
        <v>9-14</v>
      </c>
      <c r="E169" s="1" t="str">
        <f t="shared" si="76"/>
        <v>¥21 + ¥0,034/1 г</v>
      </c>
      <c r="F169" s="1" t="str">
        <f t="shared" si="77"/>
        <v>¥24,5 + ¥0,034/1 г</v>
      </c>
      <c r="G169" s="1" t="str">
        <f t="shared" si="78"/>
        <v>Разрешено</v>
      </c>
      <c r="L169" s="1">
        <v>8</v>
      </c>
      <c r="M169" s="1" t="s">
        <v>402</v>
      </c>
      <c r="N169" s="1" t="s">
        <v>280</v>
      </c>
      <c r="O169" s="1" t="s">
        <v>345</v>
      </c>
      <c r="P169" s="1">
        <v>21</v>
      </c>
      <c r="Q169" s="1">
        <v>34</v>
      </c>
      <c r="R169" s="1" t="s">
        <v>384</v>
      </c>
      <c r="S169" s="1">
        <f t="shared" si="60"/>
        <v>9</v>
      </c>
      <c r="T169" s="1">
        <v>14</v>
      </c>
      <c r="U169" s="1" t="s">
        <v>388</v>
      </c>
    </row>
    <row r="170" spans="2:21">
      <c r="B170" s="1" t="str">
        <f t="shared" si="73"/>
        <v>ATC Standard Premium Small</v>
      </c>
      <c r="C170" s="2">
        <f t="shared" si="74"/>
        <v>9</v>
      </c>
      <c r="D170" s="1" t="str">
        <f t="shared" si="75"/>
        <v>10-15</v>
      </c>
      <c r="E170" s="1" t="str">
        <f t="shared" si="76"/>
        <v>¥21 + ¥0,034/1 г</v>
      </c>
      <c r="F170" s="1" t="str">
        <f t="shared" si="77"/>
        <v>¥24,5 + ¥0,034/1 г</v>
      </c>
      <c r="G170" s="1" t="str">
        <f t="shared" si="78"/>
        <v>Разрешено</v>
      </c>
      <c r="L170" s="1">
        <v>9</v>
      </c>
      <c r="M170" s="1" t="s">
        <v>399</v>
      </c>
      <c r="N170" s="1" t="s">
        <v>280</v>
      </c>
      <c r="O170" s="1" t="s">
        <v>345</v>
      </c>
      <c r="P170" s="1">
        <v>21</v>
      </c>
      <c r="Q170" s="1">
        <v>34</v>
      </c>
      <c r="R170" s="1" t="s">
        <v>384</v>
      </c>
      <c r="S170" s="1">
        <f t="shared" si="60"/>
        <v>10</v>
      </c>
      <c r="T170" s="1">
        <v>15</v>
      </c>
      <c r="U170" s="1" t="s">
        <v>388</v>
      </c>
    </row>
    <row r="171" spans="2:21">
      <c r="B171" s="1" t="str">
        <f t="shared" si="73"/>
        <v>ZTO Standard Premium Small</v>
      </c>
      <c r="C171" s="2">
        <f t="shared" si="74"/>
        <v>10</v>
      </c>
      <c r="D171" s="1" t="str">
        <f t="shared" si="75"/>
        <v>10-15</v>
      </c>
      <c r="E171" s="1" t="str">
        <f t="shared" si="76"/>
        <v>¥22 + ¥0,035/1 г</v>
      </c>
      <c r="F171" s="1" t="str">
        <f t="shared" si="77"/>
        <v>¥25,5 + ¥0,035/1 г</v>
      </c>
      <c r="G171" s="1" t="str">
        <f t="shared" si="78"/>
        <v>Разрешено</v>
      </c>
      <c r="L171" s="1">
        <v>10</v>
      </c>
      <c r="M171" s="1" t="s">
        <v>393</v>
      </c>
      <c r="N171" s="1" t="s">
        <v>280</v>
      </c>
      <c r="O171" s="1" t="s">
        <v>345</v>
      </c>
      <c r="P171" s="1">
        <v>22</v>
      </c>
      <c r="Q171" s="1">
        <v>35</v>
      </c>
      <c r="R171" s="1" t="s">
        <v>384</v>
      </c>
      <c r="S171" s="1">
        <f t="shared" si="60"/>
        <v>10</v>
      </c>
      <c r="T171" s="1">
        <v>15</v>
      </c>
      <c r="U171" s="1" t="s">
        <v>277</v>
      </c>
    </row>
    <row r="172" spans="2:21">
      <c r="B172" s="1" t="str">
        <f t="shared" si="73"/>
        <v>IML Standard Premium Small</v>
      </c>
      <c r="C172" s="2">
        <f t="shared" si="74"/>
        <v>11</v>
      </c>
      <c r="D172" s="1" t="str">
        <f t="shared" si="75"/>
        <v>9-14</v>
      </c>
      <c r="E172" s="1" t="str">
        <f t="shared" si="76"/>
        <v>¥21,95 + ¥0,035/1 г</v>
      </c>
      <c r="F172" s="1" t="str">
        <f t="shared" si="77"/>
        <v>¥25,45 + ¥0,035/1 г</v>
      </c>
      <c r="G172" s="1" t="str">
        <f t="shared" si="78"/>
        <v>Разрешено</v>
      </c>
      <c r="L172" s="1">
        <v>11</v>
      </c>
      <c r="M172" s="1" t="s">
        <v>395</v>
      </c>
      <c r="N172" s="1" t="s">
        <v>280</v>
      </c>
      <c r="O172" s="1" t="s">
        <v>345</v>
      </c>
      <c r="P172" s="1">
        <v>21.95</v>
      </c>
      <c r="Q172" s="1">
        <v>35</v>
      </c>
      <c r="R172" s="1" t="s">
        <v>384</v>
      </c>
      <c r="S172" s="1">
        <f t="shared" si="60"/>
        <v>9</v>
      </c>
      <c r="T172" s="1">
        <v>14</v>
      </c>
      <c r="U172" s="1" t="s">
        <v>277</v>
      </c>
    </row>
    <row r="173" s="5" customFormat="1" spans="2:21">
      <c r="B173" s="5" t="str">
        <f t="shared" si="73"/>
        <v>Leader Standard Premium Small</v>
      </c>
      <c r="C173" s="8">
        <f t="shared" si="74"/>
        <v>12</v>
      </c>
      <c r="D173" s="5" t="str">
        <f t="shared" si="75"/>
        <v>10-15</v>
      </c>
      <c r="E173" s="5" t="str">
        <f t="shared" si="76"/>
        <v>¥21,5 + ¥0,035/1 г</v>
      </c>
      <c r="F173" s="5" t="str">
        <f t="shared" si="77"/>
        <v>¥25 + ¥0,035/1 г</v>
      </c>
      <c r="G173" s="5" t="str">
        <f t="shared" si="78"/>
        <v>Разрешено</v>
      </c>
      <c r="L173" s="5">
        <v>12</v>
      </c>
      <c r="M173" s="5" t="s">
        <v>401</v>
      </c>
      <c r="N173" s="5" t="s">
        <v>280</v>
      </c>
      <c r="O173" s="5" t="s">
        <v>345</v>
      </c>
      <c r="P173" s="5">
        <v>21.5</v>
      </c>
      <c r="Q173" s="5">
        <v>35</v>
      </c>
      <c r="R173" s="5" t="s">
        <v>384</v>
      </c>
      <c r="S173" s="5">
        <f t="shared" si="60"/>
        <v>10</v>
      </c>
      <c r="T173" s="5">
        <v>15</v>
      </c>
      <c r="U173" s="5" t="s">
        <v>277</v>
      </c>
    </row>
    <row r="174" s="5" customFormat="1" spans="2:21">
      <c r="B174" s="5" t="str">
        <f t="shared" si="73"/>
        <v>TFS Standard Premium Small</v>
      </c>
      <c r="C174" s="8">
        <f t="shared" si="74"/>
        <v>13</v>
      </c>
      <c r="D174" s="5" t="str">
        <f t="shared" si="75"/>
        <v>10-15</v>
      </c>
      <c r="E174" s="5" t="str">
        <f t="shared" si="76"/>
        <v>¥22 + ¥0,035/1 г</v>
      </c>
      <c r="F174" s="5" t="str">
        <f t="shared" si="77"/>
        <v>¥25,5 + ¥0,035/1 г</v>
      </c>
      <c r="G174" s="5" t="str">
        <f t="shared" si="78"/>
        <v>Разрешено</v>
      </c>
      <c r="L174" s="5">
        <v>13</v>
      </c>
      <c r="M174" s="5" t="s">
        <v>398</v>
      </c>
      <c r="N174" s="5" t="s">
        <v>280</v>
      </c>
      <c r="O174" s="5" t="s">
        <v>345</v>
      </c>
      <c r="P174" s="5">
        <v>22</v>
      </c>
      <c r="Q174" s="5">
        <v>35</v>
      </c>
      <c r="R174" s="5" t="s">
        <v>384</v>
      </c>
      <c r="S174" s="5">
        <f t="shared" si="60"/>
        <v>10</v>
      </c>
      <c r="T174" s="5">
        <v>15</v>
      </c>
      <c r="U174" s="5" t="s">
        <v>388</v>
      </c>
    </row>
    <row r="175" spans="2:21">
      <c r="B175" s="1" t="str">
        <f t="shared" si="73"/>
        <v>Tanais Standard Premium Small</v>
      </c>
      <c r="C175" s="9">
        <v>12</v>
      </c>
      <c r="D175" s="1" t="str">
        <f t="shared" si="75"/>
        <v>10-15</v>
      </c>
      <c r="E175" s="1" t="str">
        <f t="shared" si="76"/>
        <v>¥22 + ¥0,035/1 г</v>
      </c>
      <c r="F175" s="1" t="str">
        <f t="shared" si="77"/>
        <v>¥25,5 + ¥0,035/1 г</v>
      </c>
      <c r="G175" s="1" t="str">
        <f t="shared" si="78"/>
        <v>Разрешено</v>
      </c>
      <c r="L175" s="1">
        <v>13</v>
      </c>
      <c r="M175" s="1" t="s">
        <v>394</v>
      </c>
      <c r="N175" s="1" t="s">
        <v>280</v>
      </c>
      <c r="O175" s="1" t="s">
        <v>345</v>
      </c>
      <c r="P175" s="1">
        <v>22</v>
      </c>
      <c r="Q175" s="1">
        <v>35</v>
      </c>
      <c r="R175" s="1" t="s">
        <v>384</v>
      </c>
      <c r="S175" s="1">
        <f t="shared" si="60"/>
        <v>10</v>
      </c>
      <c r="T175" s="1">
        <v>15</v>
      </c>
      <c r="U175" s="1" t="s">
        <v>388</v>
      </c>
    </row>
    <row r="177" spans="2:21">
      <c r="B177" s="1" t="str">
        <f t="shared" ref="B177:B189" si="79">M177&amp;" "&amp;N177&amp;" "&amp;O177</f>
        <v>OYX  Economy Premium Small</v>
      </c>
      <c r="C177" s="2">
        <f t="shared" ref="C177:C186" si="80">L177</f>
        <v>1</v>
      </c>
      <c r="D177" s="1" t="str">
        <f t="shared" ref="D177:D189" si="81">T177-5&amp;"-"&amp;T177</f>
        <v>15-20</v>
      </c>
      <c r="E177" s="1" t="str">
        <f t="shared" ref="E177:E189" si="82">IF(R177="CNY","¥"&amp;P177&amp;" + ¥"&amp;Q177/1000&amp;"/1 г",IF(R177="USD","$"&amp;P177&amp;" + $"&amp;Q177/1000&amp;"/1 г","Error"))</f>
        <v>¥19 + ¥0,0238/1 г</v>
      </c>
      <c r="F177" s="1" t="str">
        <f t="shared" ref="F177:F189" si="83">IF(R177="CNY","¥"&amp;P177+3.5&amp;" + ¥"&amp;Q177/1000&amp;"/1 г",IF(R177="USD","$"&amp;P177+0.49&amp;" + $"&amp;Q177/1000&amp;"/1 г","Error"))</f>
        <v>¥22,5 + ¥0,0238/1 г</v>
      </c>
      <c r="G177" s="1" t="str">
        <f t="shared" ref="G177:G189" si="84">IF(OR(U177="Разрешено",U177="允许"),"Разрешено",IF(OR(U177="Запрещено",U177="禁止"),"Запрещено","Error"))</f>
        <v>Разрешено</v>
      </c>
      <c r="L177" s="1">
        <v>1</v>
      </c>
      <c r="M177" s="1" t="s">
        <v>390</v>
      </c>
      <c r="N177" s="1" t="s">
        <v>287</v>
      </c>
      <c r="O177" s="1" t="s">
        <v>345</v>
      </c>
      <c r="P177" s="1">
        <v>19</v>
      </c>
      <c r="Q177" s="1">
        <v>23.8</v>
      </c>
      <c r="R177" s="1" t="s">
        <v>384</v>
      </c>
      <c r="S177" s="1">
        <f t="shared" si="60"/>
        <v>15</v>
      </c>
      <c r="T177" s="1">
        <v>20</v>
      </c>
      <c r="U177" s="1" t="s">
        <v>277</v>
      </c>
    </row>
    <row r="178" spans="2:21">
      <c r="B178" s="1" t="str">
        <f t="shared" si="79"/>
        <v>Xingyuan Economy Premium Small</v>
      </c>
      <c r="C178" s="2">
        <f t="shared" si="80"/>
        <v>2</v>
      </c>
      <c r="D178" s="1" t="str">
        <f t="shared" si="81"/>
        <v>15-20</v>
      </c>
      <c r="E178" s="1" t="str">
        <f t="shared" si="82"/>
        <v>¥19 + ¥0,024/1 г</v>
      </c>
      <c r="F178" s="1" t="str">
        <f t="shared" si="83"/>
        <v>¥22,5 + ¥0,024/1 г</v>
      </c>
      <c r="G178" s="1" t="str">
        <f t="shared" si="84"/>
        <v>Разрешено</v>
      </c>
      <c r="L178" s="1">
        <v>2</v>
      </c>
      <c r="M178" s="1" t="s">
        <v>391</v>
      </c>
      <c r="N178" s="1" t="s">
        <v>287</v>
      </c>
      <c r="O178" s="1" t="s">
        <v>345</v>
      </c>
      <c r="P178" s="1">
        <v>19</v>
      </c>
      <c r="Q178" s="1">
        <v>24</v>
      </c>
      <c r="R178" s="1" t="s">
        <v>384</v>
      </c>
      <c r="S178" s="1">
        <f t="shared" si="60"/>
        <v>15</v>
      </c>
      <c r="T178" s="1">
        <v>20</v>
      </c>
      <c r="U178" s="1" t="s">
        <v>277</v>
      </c>
    </row>
    <row r="179" spans="2:21">
      <c r="B179" s="1" t="str">
        <f t="shared" si="79"/>
        <v>ABT  Economy Premium Small</v>
      </c>
      <c r="C179" s="2">
        <f t="shared" si="80"/>
        <v>2</v>
      </c>
      <c r="D179" s="1" t="str">
        <f t="shared" si="81"/>
        <v>15-20</v>
      </c>
      <c r="E179" s="1" t="str">
        <f t="shared" si="82"/>
        <v>¥19 + ¥0,024/1 г</v>
      </c>
      <c r="F179" s="1" t="str">
        <f t="shared" si="83"/>
        <v>¥22,5 + ¥0,024/1 г</v>
      </c>
      <c r="G179" s="1" t="str">
        <f t="shared" si="84"/>
        <v>Разрешено</v>
      </c>
      <c r="L179" s="1">
        <v>2</v>
      </c>
      <c r="M179" s="1" t="s">
        <v>389</v>
      </c>
      <c r="N179" s="1" t="s">
        <v>287</v>
      </c>
      <c r="O179" s="1" t="s">
        <v>345</v>
      </c>
      <c r="P179" s="1">
        <v>19</v>
      </c>
      <c r="Q179" s="1">
        <v>24</v>
      </c>
      <c r="R179" s="1" t="s">
        <v>384</v>
      </c>
      <c r="S179" s="1">
        <f t="shared" si="60"/>
        <v>15</v>
      </c>
      <c r="T179" s="1">
        <v>20</v>
      </c>
      <c r="U179" s="1" t="s">
        <v>277</v>
      </c>
    </row>
    <row r="180" spans="2:21">
      <c r="B180" s="1" t="str">
        <f t="shared" si="79"/>
        <v>Tanais Economy Premium Small</v>
      </c>
      <c r="C180" s="2">
        <f t="shared" si="80"/>
        <v>4</v>
      </c>
      <c r="D180" s="1" t="str">
        <f t="shared" si="81"/>
        <v>14-19</v>
      </c>
      <c r="E180" s="1" t="str">
        <f t="shared" si="82"/>
        <v>¥21 + ¥0,022/1 г</v>
      </c>
      <c r="F180" s="1" t="str">
        <f t="shared" si="83"/>
        <v>¥24,5 + ¥0,022/1 г</v>
      </c>
      <c r="G180" s="1" t="str">
        <f t="shared" si="84"/>
        <v>Разрешено</v>
      </c>
      <c r="L180" s="1">
        <v>4</v>
      </c>
      <c r="M180" s="1" t="s">
        <v>394</v>
      </c>
      <c r="N180" s="1" t="s">
        <v>287</v>
      </c>
      <c r="O180" s="1" t="s">
        <v>345</v>
      </c>
      <c r="P180" s="1">
        <v>21</v>
      </c>
      <c r="Q180" s="1">
        <v>22</v>
      </c>
      <c r="R180" s="1" t="s">
        <v>384</v>
      </c>
      <c r="S180" s="1">
        <f t="shared" si="60"/>
        <v>14</v>
      </c>
      <c r="T180" s="1">
        <v>19</v>
      </c>
      <c r="U180" s="1" t="s">
        <v>388</v>
      </c>
    </row>
    <row r="181" spans="2:21">
      <c r="B181" s="1" t="str">
        <f t="shared" si="79"/>
        <v>RETS Economy Premium Small</v>
      </c>
      <c r="C181" s="2">
        <f t="shared" si="80"/>
        <v>5</v>
      </c>
      <c r="D181" s="1" t="str">
        <f t="shared" si="81"/>
        <v>13-18</v>
      </c>
      <c r="E181" s="1" t="str">
        <f t="shared" si="82"/>
        <v>¥21 + ¥0,024/1 г</v>
      </c>
      <c r="F181" s="1" t="str">
        <f t="shared" si="83"/>
        <v>¥24,5 + ¥0,024/1 г</v>
      </c>
      <c r="G181" s="1" t="str">
        <f t="shared" si="84"/>
        <v>Разрешено</v>
      </c>
      <c r="L181" s="1">
        <v>5</v>
      </c>
      <c r="M181" s="1" t="s">
        <v>383</v>
      </c>
      <c r="N181" s="1" t="s">
        <v>287</v>
      </c>
      <c r="O181" s="1" t="s">
        <v>345</v>
      </c>
      <c r="P181" s="1">
        <v>21</v>
      </c>
      <c r="Q181" s="1">
        <v>24</v>
      </c>
      <c r="R181" s="1" t="s">
        <v>384</v>
      </c>
      <c r="S181" s="1">
        <f t="shared" si="60"/>
        <v>13</v>
      </c>
      <c r="T181" s="1">
        <v>18</v>
      </c>
      <c r="U181" s="1" t="s">
        <v>388</v>
      </c>
    </row>
    <row r="182" spans="2:21">
      <c r="B182" s="1" t="str">
        <f t="shared" si="79"/>
        <v>CEL Economy Premium Small</v>
      </c>
      <c r="C182" s="2">
        <f t="shared" si="80"/>
        <v>6</v>
      </c>
      <c r="D182" s="1" t="str">
        <f t="shared" si="81"/>
        <v>15-20</v>
      </c>
      <c r="E182" s="1" t="str">
        <f t="shared" si="82"/>
        <v>¥20 + ¥0,0239/1 г</v>
      </c>
      <c r="F182" s="1" t="str">
        <f t="shared" si="83"/>
        <v>¥23,5 + ¥0,0239/1 г</v>
      </c>
      <c r="G182" s="1" t="str">
        <f t="shared" si="84"/>
        <v>Разрешено</v>
      </c>
      <c r="L182" s="1">
        <v>6</v>
      </c>
      <c r="M182" s="1" t="s">
        <v>392</v>
      </c>
      <c r="N182" s="1" t="s">
        <v>287</v>
      </c>
      <c r="O182" s="1" t="s">
        <v>345</v>
      </c>
      <c r="P182" s="1">
        <v>20</v>
      </c>
      <c r="Q182" s="1">
        <v>23.9</v>
      </c>
      <c r="R182" s="1" t="s">
        <v>384</v>
      </c>
      <c r="S182" s="1">
        <f t="shared" si="60"/>
        <v>15</v>
      </c>
      <c r="T182" s="1">
        <v>20</v>
      </c>
      <c r="U182" s="1" t="s">
        <v>277</v>
      </c>
    </row>
    <row r="183" spans="2:21">
      <c r="B183" s="1" t="str">
        <f t="shared" si="79"/>
        <v>GBS Economy Premium Small</v>
      </c>
      <c r="C183" s="2">
        <f t="shared" si="80"/>
        <v>6</v>
      </c>
      <c r="D183" s="1" t="str">
        <f t="shared" si="81"/>
        <v>15-20</v>
      </c>
      <c r="E183" s="1" t="str">
        <f t="shared" si="82"/>
        <v>¥21 + ¥0,02375/1 г</v>
      </c>
      <c r="F183" s="1" t="str">
        <f t="shared" si="83"/>
        <v>¥24,5 + ¥0,02375/1 г</v>
      </c>
      <c r="G183" s="1" t="str">
        <f t="shared" si="84"/>
        <v>Разрешено</v>
      </c>
      <c r="L183" s="1">
        <v>6</v>
      </c>
      <c r="M183" s="1" t="s">
        <v>402</v>
      </c>
      <c r="N183" s="1" t="s">
        <v>287</v>
      </c>
      <c r="O183" s="1" t="s">
        <v>345</v>
      </c>
      <c r="P183" s="1">
        <v>21</v>
      </c>
      <c r="Q183" s="1">
        <v>23.75</v>
      </c>
      <c r="R183" s="1" t="s">
        <v>384</v>
      </c>
      <c r="S183" s="1">
        <f t="shared" si="60"/>
        <v>15</v>
      </c>
      <c r="T183" s="1">
        <v>20</v>
      </c>
      <c r="U183" s="1" t="s">
        <v>388</v>
      </c>
    </row>
    <row r="184" spans="2:21">
      <c r="B184" s="1" t="str">
        <f t="shared" si="79"/>
        <v>ATC Economy Premium Small</v>
      </c>
      <c r="C184" s="2">
        <f t="shared" si="80"/>
        <v>8</v>
      </c>
      <c r="D184" s="1" t="str">
        <f t="shared" si="81"/>
        <v>15-20</v>
      </c>
      <c r="E184" s="1" t="str">
        <f t="shared" si="82"/>
        <v>¥21,5 + ¥0,024/1 г</v>
      </c>
      <c r="F184" s="1" t="str">
        <f t="shared" si="83"/>
        <v>¥25 + ¥0,024/1 г</v>
      </c>
      <c r="G184" s="1" t="str">
        <f t="shared" si="84"/>
        <v>Разрешено</v>
      </c>
      <c r="L184" s="1">
        <v>8</v>
      </c>
      <c r="M184" s="1" t="s">
        <v>399</v>
      </c>
      <c r="N184" s="1" t="s">
        <v>287</v>
      </c>
      <c r="O184" s="1" t="s">
        <v>345</v>
      </c>
      <c r="P184" s="1">
        <v>21.5</v>
      </c>
      <c r="Q184" s="1">
        <v>24</v>
      </c>
      <c r="R184" s="1" t="s">
        <v>384</v>
      </c>
      <c r="S184" s="1">
        <f t="shared" si="60"/>
        <v>15</v>
      </c>
      <c r="T184" s="1">
        <v>20</v>
      </c>
      <c r="U184" s="1" t="s">
        <v>388</v>
      </c>
    </row>
    <row r="185" spans="2:21">
      <c r="B185" s="1" t="str">
        <f t="shared" si="79"/>
        <v>ZTO Economy Premium Small</v>
      </c>
      <c r="C185" s="2">
        <f t="shared" si="80"/>
        <v>9</v>
      </c>
      <c r="D185" s="1" t="str">
        <f t="shared" si="81"/>
        <v>15-20</v>
      </c>
      <c r="E185" s="1" t="str">
        <f t="shared" si="82"/>
        <v>¥22 + ¥0,025/1 г</v>
      </c>
      <c r="F185" s="1" t="str">
        <f t="shared" si="83"/>
        <v>¥25,5 + ¥0,025/1 г</v>
      </c>
      <c r="G185" s="1" t="str">
        <f t="shared" si="84"/>
        <v>Разрешено</v>
      </c>
      <c r="L185" s="1">
        <v>9</v>
      </c>
      <c r="M185" s="1" t="s">
        <v>393</v>
      </c>
      <c r="N185" s="1" t="s">
        <v>287</v>
      </c>
      <c r="O185" s="1" t="s">
        <v>345</v>
      </c>
      <c r="P185" s="1">
        <v>22</v>
      </c>
      <c r="Q185" s="1">
        <v>25</v>
      </c>
      <c r="R185" s="1" t="s">
        <v>384</v>
      </c>
      <c r="S185" s="1">
        <f t="shared" si="60"/>
        <v>15</v>
      </c>
      <c r="T185" s="1">
        <v>20</v>
      </c>
      <c r="U185" s="1" t="s">
        <v>277</v>
      </c>
    </row>
    <row r="186" s="5" customFormat="1" spans="2:21">
      <c r="B186" s="5" t="str">
        <f t="shared" si="79"/>
        <v>Leader Economy Premium Small</v>
      </c>
      <c r="C186" s="8">
        <f t="shared" si="80"/>
        <v>10</v>
      </c>
      <c r="D186" s="5" t="str">
        <f t="shared" si="81"/>
        <v>10-15</v>
      </c>
      <c r="E186" s="5" t="str">
        <f t="shared" si="82"/>
        <v>¥21,5 + ¥0,025/1 г</v>
      </c>
      <c r="F186" s="5" t="str">
        <f t="shared" si="83"/>
        <v>¥25 + ¥0,025/1 г</v>
      </c>
      <c r="G186" s="5" t="str">
        <f t="shared" si="84"/>
        <v>Разрешено</v>
      </c>
      <c r="L186" s="5">
        <v>10</v>
      </c>
      <c r="M186" s="5" t="s">
        <v>401</v>
      </c>
      <c r="N186" s="5" t="s">
        <v>287</v>
      </c>
      <c r="O186" s="5" t="s">
        <v>345</v>
      </c>
      <c r="P186" s="5">
        <v>21.5</v>
      </c>
      <c r="Q186" s="5">
        <v>25</v>
      </c>
      <c r="R186" s="5" t="s">
        <v>384</v>
      </c>
      <c r="S186" s="5">
        <f t="shared" si="60"/>
        <v>10</v>
      </c>
      <c r="T186" s="5">
        <v>15</v>
      </c>
      <c r="U186" s="5" t="s">
        <v>277</v>
      </c>
    </row>
    <row r="187" spans="2:21">
      <c r="B187" s="1" t="str">
        <f t="shared" si="79"/>
        <v>Ural Economy Premium Small</v>
      </c>
      <c r="C187" s="9">
        <v>10</v>
      </c>
      <c r="D187" s="1" t="str">
        <f t="shared" si="81"/>
        <v>15-20</v>
      </c>
      <c r="E187" s="1" t="str">
        <f t="shared" si="82"/>
        <v>¥22 + ¥0,025/1 г</v>
      </c>
      <c r="F187" s="1" t="str">
        <f t="shared" si="83"/>
        <v>¥25,5 + ¥0,025/1 г</v>
      </c>
      <c r="G187" s="1" t="str">
        <f t="shared" si="84"/>
        <v>Разрешено</v>
      </c>
      <c r="L187" s="1">
        <v>11</v>
      </c>
      <c r="M187" s="1" t="s">
        <v>396</v>
      </c>
      <c r="N187" s="1" t="s">
        <v>287</v>
      </c>
      <c r="O187" s="1" t="s">
        <v>345</v>
      </c>
      <c r="P187" s="1">
        <v>22</v>
      </c>
      <c r="Q187" s="1">
        <v>25</v>
      </c>
      <c r="R187" s="1" t="s">
        <v>384</v>
      </c>
      <c r="S187" s="1">
        <f t="shared" si="60"/>
        <v>15</v>
      </c>
      <c r="T187" s="1">
        <v>20</v>
      </c>
      <c r="U187" s="1" t="s">
        <v>277</v>
      </c>
    </row>
    <row r="188" spans="2:21">
      <c r="B188" s="1" t="str">
        <f t="shared" si="79"/>
        <v>UNI Economy Premium Small</v>
      </c>
      <c r="C188" s="9">
        <v>11</v>
      </c>
      <c r="D188" s="1" t="str">
        <f t="shared" si="81"/>
        <v>15-20</v>
      </c>
      <c r="E188" s="1" t="str">
        <f t="shared" si="82"/>
        <v>$3,06 + $0,00347/1 г</v>
      </c>
      <c r="F188" s="1" t="str">
        <f t="shared" si="83"/>
        <v>$3,55 + $0,00347/1 г</v>
      </c>
      <c r="G188" s="1" t="str">
        <f t="shared" si="84"/>
        <v>Разрешено</v>
      </c>
      <c r="L188" s="1">
        <v>12</v>
      </c>
      <c r="M188" s="1" t="s">
        <v>386</v>
      </c>
      <c r="N188" s="1" t="s">
        <v>287</v>
      </c>
      <c r="O188" s="1" t="s">
        <v>345</v>
      </c>
      <c r="P188" s="1">
        <v>3.06</v>
      </c>
      <c r="Q188" s="1">
        <v>3.47</v>
      </c>
      <c r="R188" s="1" t="s">
        <v>387</v>
      </c>
      <c r="S188" s="1">
        <f t="shared" si="60"/>
        <v>15</v>
      </c>
      <c r="T188" s="1">
        <v>20</v>
      </c>
      <c r="U188" s="1" t="s">
        <v>388</v>
      </c>
    </row>
    <row r="189" spans="2:21">
      <c r="B189" s="1" t="str">
        <f t="shared" si="79"/>
        <v>GUOO Economy Premium Small</v>
      </c>
      <c r="C189" s="9">
        <v>12</v>
      </c>
      <c r="D189" s="1" t="str">
        <f t="shared" si="81"/>
        <v>15-20</v>
      </c>
      <c r="E189" s="1" t="str">
        <f t="shared" si="82"/>
        <v>¥22 + ¥0,025/1 г</v>
      </c>
      <c r="F189" s="1" t="str">
        <f t="shared" si="83"/>
        <v>¥25,5 + ¥0,025/1 г</v>
      </c>
      <c r="G189" s="1" t="str">
        <f t="shared" si="84"/>
        <v>Разрешено</v>
      </c>
      <c r="L189" s="1">
        <v>13</v>
      </c>
      <c r="M189" s="1" t="s">
        <v>397</v>
      </c>
      <c r="N189" s="1" t="s">
        <v>287</v>
      </c>
      <c r="O189" s="1" t="s">
        <v>345</v>
      </c>
      <c r="P189" s="1">
        <v>22</v>
      </c>
      <c r="Q189" s="1">
        <v>25</v>
      </c>
      <c r="R189" s="1" t="s">
        <v>384</v>
      </c>
      <c r="S189" s="1">
        <f t="shared" si="60"/>
        <v>15</v>
      </c>
      <c r="T189" s="1">
        <v>20</v>
      </c>
      <c r="U189" s="1" t="s">
        <v>277</v>
      </c>
    </row>
    <row r="191" spans="2:21">
      <c r="B191" s="1" t="str">
        <f t="shared" ref="B191:B196" si="85">M191&amp;" "&amp;N191&amp;" "&amp;O191</f>
        <v>RETS Express Premium Big</v>
      </c>
      <c r="C191" s="2">
        <f t="shared" ref="C191:C196" si="86">L191</f>
        <v>1</v>
      </c>
      <c r="D191" s="1" t="str">
        <f t="shared" ref="D191:D196" si="87">T191-5&amp;"-"&amp;T191</f>
        <v>3-8</v>
      </c>
      <c r="E191" s="1" t="str">
        <f t="shared" ref="E191:E196" si="88">IF(R191="CNY","¥"&amp;P191&amp;" + ¥"&amp;Q191/1000&amp;"/1 г",IF(R191="USD","$"&amp;P191&amp;" + $"&amp;Q191/1000&amp;"/1 г","Error"))</f>
        <v>¥61,9 + ¥0,032/1 г</v>
      </c>
      <c r="F191" s="1" t="str">
        <f t="shared" ref="F191:F196" si="89">IF(R191="CNY","¥"&amp;P191+3.5&amp;" + ¥"&amp;Q191/1000&amp;"/1 г",IF(R191="USD","$"&amp;P191+0.49&amp;" + $"&amp;Q191/1000&amp;"/1 г","Error"))</f>
        <v>¥65,4 + ¥0,032/1 г</v>
      </c>
      <c r="G191" s="1" t="str">
        <f t="shared" ref="G191:G196" si="90">IF(OR(U191="Разрешено",U191="允许"),"Разрешено",IF(OR(U191="Запрещено",U191="禁止"),"Запрещено","Error"))</f>
        <v>Запрещено</v>
      </c>
      <c r="L191" s="1">
        <v>1</v>
      </c>
      <c r="M191" s="1" t="s">
        <v>383</v>
      </c>
      <c r="N191" s="1" t="s">
        <v>261</v>
      </c>
      <c r="O191" s="1" t="s">
        <v>363</v>
      </c>
      <c r="P191" s="1">
        <v>61.9</v>
      </c>
      <c r="Q191" s="1">
        <v>32</v>
      </c>
      <c r="R191" s="1" t="s">
        <v>384</v>
      </c>
      <c r="S191" s="1">
        <f t="shared" si="60"/>
        <v>3</v>
      </c>
      <c r="T191" s="1">
        <v>8</v>
      </c>
      <c r="U191" s="1" t="s">
        <v>385</v>
      </c>
    </row>
    <row r="192" spans="2:21">
      <c r="B192" s="1" t="str">
        <f t="shared" si="85"/>
        <v>CEL Express Premium Big</v>
      </c>
      <c r="C192" s="2">
        <f t="shared" si="86"/>
        <v>2</v>
      </c>
      <c r="D192" s="1" t="str">
        <f t="shared" si="87"/>
        <v>5-10</v>
      </c>
      <c r="E192" s="1" t="str">
        <f t="shared" si="88"/>
        <v>¥61,9 + ¥0,032/1 г</v>
      </c>
      <c r="F192" s="1" t="str">
        <f t="shared" si="89"/>
        <v>¥65,4 + ¥0,032/1 г</v>
      </c>
      <c r="G192" s="1" t="str">
        <f t="shared" si="90"/>
        <v>Запрещено</v>
      </c>
      <c r="L192" s="1">
        <v>2</v>
      </c>
      <c r="M192" s="1" t="s">
        <v>392</v>
      </c>
      <c r="N192" s="1" t="s">
        <v>261</v>
      </c>
      <c r="O192" s="1" t="s">
        <v>363</v>
      </c>
      <c r="P192" s="1">
        <v>61.9</v>
      </c>
      <c r="Q192" s="1">
        <v>32</v>
      </c>
      <c r="R192" s="1" t="s">
        <v>384</v>
      </c>
      <c r="S192" s="1">
        <f t="shared" si="60"/>
        <v>5</v>
      </c>
      <c r="T192" s="1">
        <v>10</v>
      </c>
      <c r="U192" s="1" t="s">
        <v>264</v>
      </c>
    </row>
    <row r="193" spans="2:21">
      <c r="B193" s="1" t="str">
        <f t="shared" si="85"/>
        <v>UNI Express Premium Big</v>
      </c>
      <c r="C193" s="2">
        <f t="shared" si="86"/>
        <v>2</v>
      </c>
      <c r="D193" s="1" t="str">
        <f t="shared" si="87"/>
        <v>5-10</v>
      </c>
      <c r="E193" s="1" t="str">
        <f t="shared" si="88"/>
        <v>$8,55 + $0,00441/1 г</v>
      </c>
      <c r="F193" s="1" t="str">
        <f t="shared" si="89"/>
        <v>$9,04 + $0,00441/1 г</v>
      </c>
      <c r="G193" s="1" t="str">
        <f t="shared" si="90"/>
        <v>Разрешено</v>
      </c>
      <c r="L193" s="1">
        <v>2</v>
      </c>
      <c r="M193" s="1" t="s">
        <v>386</v>
      </c>
      <c r="N193" s="1" t="s">
        <v>261</v>
      </c>
      <c r="O193" s="1" t="s">
        <v>363</v>
      </c>
      <c r="P193" s="1">
        <v>8.55</v>
      </c>
      <c r="Q193" s="1">
        <v>4.41</v>
      </c>
      <c r="R193" s="1" t="s">
        <v>387</v>
      </c>
      <c r="S193" s="1">
        <f t="shared" si="60"/>
        <v>5</v>
      </c>
      <c r="T193" s="1">
        <v>10</v>
      </c>
      <c r="U193" s="1" t="s">
        <v>388</v>
      </c>
    </row>
    <row r="194" spans="2:21">
      <c r="B194" s="1" t="str">
        <f t="shared" si="85"/>
        <v>IML Express Premium Big</v>
      </c>
      <c r="C194" s="2">
        <f t="shared" si="86"/>
        <v>4</v>
      </c>
      <c r="D194" s="1" t="str">
        <f t="shared" si="87"/>
        <v>3-8</v>
      </c>
      <c r="E194" s="1" t="str">
        <f t="shared" si="88"/>
        <v>¥61,95 + ¥0,033/1 г</v>
      </c>
      <c r="F194" s="1" t="str">
        <f t="shared" si="89"/>
        <v>¥65,45 + ¥0,033/1 г</v>
      </c>
      <c r="G194" s="1" t="str">
        <f t="shared" si="90"/>
        <v>Разрешено</v>
      </c>
      <c r="L194" s="1">
        <v>4</v>
      </c>
      <c r="M194" s="1" t="s">
        <v>395</v>
      </c>
      <c r="N194" s="1" t="s">
        <v>261</v>
      </c>
      <c r="O194" s="1" t="s">
        <v>363</v>
      </c>
      <c r="P194" s="1">
        <v>61.95</v>
      </c>
      <c r="Q194" s="1">
        <v>33</v>
      </c>
      <c r="R194" s="1" t="s">
        <v>384</v>
      </c>
      <c r="S194" s="1">
        <f t="shared" si="60"/>
        <v>3</v>
      </c>
      <c r="T194" s="1">
        <v>8</v>
      </c>
      <c r="U194" s="1" t="s">
        <v>277</v>
      </c>
    </row>
    <row r="195" spans="2:21">
      <c r="B195" s="1" t="str">
        <f t="shared" si="85"/>
        <v>Ural Express Premium Big</v>
      </c>
      <c r="C195" s="2">
        <f t="shared" si="86"/>
        <v>5</v>
      </c>
      <c r="D195" s="1" t="str">
        <f t="shared" si="87"/>
        <v>5-10</v>
      </c>
      <c r="E195" s="1" t="str">
        <f t="shared" si="88"/>
        <v>¥62 + ¥0,033/1 г</v>
      </c>
      <c r="F195" s="1" t="str">
        <f t="shared" si="89"/>
        <v>¥65,5 + ¥0,033/1 г</v>
      </c>
      <c r="G195" s="1" t="str">
        <f t="shared" si="90"/>
        <v>Запрещено</v>
      </c>
      <c r="L195" s="1">
        <v>5</v>
      </c>
      <c r="M195" s="1" t="s">
        <v>396</v>
      </c>
      <c r="N195" s="1" t="s">
        <v>261</v>
      </c>
      <c r="O195" s="1" t="s">
        <v>363</v>
      </c>
      <c r="P195" s="1">
        <v>62</v>
      </c>
      <c r="Q195" s="1">
        <v>33</v>
      </c>
      <c r="R195" s="1" t="s">
        <v>384</v>
      </c>
      <c r="S195" s="1">
        <f t="shared" si="60"/>
        <v>5</v>
      </c>
      <c r="T195" s="1">
        <v>10</v>
      </c>
      <c r="U195" s="1" t="s">
        <v>264</v>
      </c>
    </row>
    <row r="196" s="5" customFormat="1" spans="2:21">
      <c r="B196" s="5" t="str">
        <f t="shared" si="85"/>
        <v>TFS Express Premium Big</v>
      </c>
      <c r="C196" s="8">
        <f t="shared" si="86"/>
        <v>6</v>
      </c>
      <c r="D196" s="5" t="str">
        <f t="shared" si="87"/>
        <v>5-10</v>
      </c>
      <c r="E196" s="5" t="str">
        <f t="shared" si="88"/>
        <v>¥62 + ¥0,033/1 г</v>
      </c>
      <c r="F196" s="5" t="str">
        <f t="shared" si="89"/>
        <v>¥65,5 + ¥0,033/1 г</v>
      </c>
      <c r="G196" s="5" t="str">
        <f t="shared" si="90"/>
        <v>Разрешено</v>
      </c>
      <c r="L196" s="5">
        <v>6</v>
      </c>
      <c r="M196" s="5" t="s">
        <v>398</v>
      </c>
      <c r="N196" s="5" t="s">
        <v>261</v>
      </c>
      <c r="O196" s="5" t="s">
        <v>363</v>
      </c>
      <c r="P196" s="5">
        <v>62</v>
      </c>
      <c r="Q196" s="5">
        <v>33</v>
      </c>
      <c r="R196" s="5" t="s">
        <v>384</v>
      </c>
      <c r="S196" s="5">
        <f t="shared" ref="S196:S215" si="91">T196-5</f>
        <v>5</v>
      </c>
      <c r="T196" s="5">
        <v>10</v>
      </c>
      <c r="U196" s="5" t="s">
        <v>388</v>
      </c>
    </row>
    <row r="198" spans="2:21">
      <c r="B198" s="1" t="str">
        <f t="shared" ref="B198:B207" si="92">M198&amp;" "&amp;N198&amp;" "&amp;O198</f>
        <v>UNI Standard Premium Big</v>
      </c>
      <c r="C198" s="2">
        <f t="shared" ref="C198:C207" si="93">L198</f>
        <v>1</v>
      </c>
      <c r="D198" s="1" t="str">
        <f t="shared" ref="D198:D207" si="94">T198-5&amp;"-"&amp;T198</f>
        <v>10-15</v>
      </c>
      <c r="E198" s="1" t="str">
        <f t="shared" ref="E198:E207" si="95">IF(R198="CNY","¥"&amp;P198&amp;" + ¥"&amp;Q198/1000&amp;"/1 г",IF(R198="USD","$"&amp;P198&amp;" + $"&amp;Q198/1000&amp;"/1 г","Error"))</f>
        <v>$3,76 + $0,00335/1 г</v>
      </c>
      <c r="F198" s="1" t="str">
        <f t="shared" ref="F198:F207" si="96">IF(R198="CNY","¥"&amp;P198+3.5&amp;" + ¥"&amp;Q198/1000&amp;"/1 г",IF(R198="USD","$"&amp;P198+0.49&amp;" + $"&amp;Q198/1000&amp;"/1 г","Error"))</f>
        <v>$4,25 + $0,00335/1 г</v>
      </c>
      <c r="G198" s="1" t="str">
        <f t="shared" ref="G198:G207" si="97">IF(OR(U198="Разрешено",U198="允许"),"Разрешено",IF(OR(U198="Запрещено",U198="禁止"),"Запрещено","Error"))</f>
        <v>Разрешено</v>
      </c>
      <c r="L198" s="1">
        <v>1</v>
      </c>
      <c r="M198" s="1" t="s">
        <v>386</v>
      </c>
      <c r="N198" s="1" t="s">
        <v>280</v>
      </c>
      <c r="O198" s="1" t="s">
        <v>363</v>
      </c>
      <c r="P198" s="1">
        <v>3.76</v>
      </c>
      <c r="Q198" s="1">
        <v>3.35</v>
      </c>
      <c r="R198" s="1" t="s">
        <v>387</v>
      </c>
      <c r="S198" s="1">
        <f t="shared" si="91"/>
        <v>10</v>
      </c>
      <c r="T198" s="1">
        <v>15</v>
      </c>
      <c r="U198" s="1" t="s">
        <v>388</v>
      </c>
    </row>
    <row r="199" spans="2:21">
      <c r="B199" s="1" t="str">
        <f t="shared" si="92"/>
        <v>OYX  Standard Premium Big</v>
      </c>
      <c r="C199" s="2">
        <f t="shared" si="93"/>
        <v>2</v>
      </c>
      <c r="D199" s="1" t="str">
        <f t="shared" si="94"/>
        <v>10-15</v>
      </c>
      <c r="E199" s="1" t="str">
        <f t="shared" si="95"/>
        <v>¥27 + ¥0,0248/1 г</v>
      </c>
      <c r="F199" s="1" t="str">
        <f t="shared" si="96"/>
        <v>¥30,5 + ¥0,0248/1 г</v>
      </c>
      <c r="G199" s="1" t="str">
        <f t="shared" si="97"/>
        <v>Разрешено</v>
      </c>
      <c r="L199" s="1">
        <v>2</v>
      </c>
      <c r="M199" s="1" t="s">
        <v>390</v>
      </c>
      <c r="N199" s="1" t="s">
        <v>280</v>
      </c>
      <c r="O199" s="1" t="s">
        <v>363</v>
      </c>
      <c r="P199" s="1">
        <v>27</v>
      </c>
      <c r="Q199" s="1">
        <v>24.8</v>
      </c>
      <c r="R199" s="1" t="s">
        <v>384</v>
      </c>
      <c r="S199" s="1">
        <f t="shared" si="91"/>
        <v>10</v>
      </c>
      <c r="T199" s="1">
        <v>15</v>
      </c>
      <c r="U199" s="1" t="s">
        <v>277</v>
      </c>
    </row>
    <row r="200" spans="2:21">
      <c r="B200" s="1" t="str">
        <f t="shared" si="92"/>
        <v>Xingyuan Standard Premium Big</v>
      </c>
      <c r="C200" s="2">
        <f t="shared" si="93"/>
        <v>3</v>
      </c>
      <c r="D200" s="1" t="str">
        <f t="shared" si="94"/>
        <v>10-15</v>
      </c>
      <c r="E200" s="1" t="str">
        <f t="shared" si="95"/>
        <v>¥27 + ¥0,025/1 г</v>
      </c>
      <c r="F200" s="1" t="str">
        <f t="shared" si="96"/>
        <v>¥30,5 + ¥0,025/1 г</v>
      </c>
      <c r="G200" s="1" t="str">
        <f t="shared" si="97"/>
        <v>Разрешено</v>
      </c>
      <c r="L200" s="1">
        <v>3</v>
      </c>
      <c r="M200" s="1" t="s">
        <v>391</v>
      </c>
      <c r="N200" s="1" t="s">
        <v>280</v>
      </c>
      <c r="O200" s="1" t="s">
        <v>363</v>
      </c>
      <c r="P200" s="1">
        <v>27</v>
      </c>
      <c r="Q200" s="1">
        <v>25</v>
      </c>
      <c r="R200" s="1" t="s">
        <v>384</v>
      </c>
      <c r="S200" s="1">
        <f t="shared" si="91"/>
        <v>10</v>
      </c>
      <c r="T200" s="1">
        <v>15</v>
      </c>
      <c r="U200" s="1" t="s">
        <v>277</v>
      </c>
    </row>
    <row r="201" spans="2:21">
      <c r="B201" s="1" t="str">
        <f t="shared" si="92"/>
        <v>ABT  Standard Premium Big</v>
      </c>
      <c r="C201" s="2">
        <f t="shared" si="93"/>
        <v>3</v>
      </c>
      <c r="D201" s="1" t="str">
        <f t="shared" si="94"/>
        <v>10-15</v>
      </c>
      <c r="E201" s="1" t="str">
        <f t="shared" si="95"/>
        <v>¥27 + ¥0,025/1 г</v>
      </c>
      <c r="F201" s="1" t="str">
        <f t="shared" si="96"/>
        <v>¥30,5 + ¥0,025/1 г</v>
      </c>
      <c r="G201" s="1" t="str">
        <f t="shared" si="97"/>
        <v>Разрешено</v>
      </c>
      <c r="L201" s="1">
        <v>3</v>
      </c>
      <c r="M201" s="1" t="s">
        <v>389</v>
      </c>
      <c r="N201" s="1" t="s">
        <v>280</v>
      </c>
      <c r="O201" s="1" t="s">
        <v>363</v>
      </c>
      <c r="P201" s="1">
        <v>27</v>
      </c>
      <c r="Q201" s="1">
        <v>25</v>
      </c>
      <c r="R201" s="1" t="s">
        <v>384</v>
      </c>
      <c r="S201" s="1">
        <f t="shared" si="91"/>
        <v>10</v>
      </c>
      <c r="T201" s="1">
        <v>15</v>
      </c>
      <c r="U201" s="1" t="s">
        <v>277</v>
      </c>
    </row>
    <row r="202" spans="2:21">
      <c r="B202" s="1" t="str">
        <f t="shared" si="92"/>
        <v>RETS Standard Premium Big</v>
      </c>
      <c r="C202" s="2">
        <f t="shared" si="93"/>
        <v>5</v>
      </c>
      <c r="D202" s="1" t="str">
        <f t="shared" si="94"/>
        <v>7-12</v>
      </c>
      <c r="E202" s="1" t="str">
        <f t="shared" si="95"/>
        <v>¥61,9 + ¥0,024/1 г</v>
      </c>
      <c r="F202" s="1" t="str">
        <f t="shared" si="96"/>
        <v>¥65,4 + ¥0,024/1 г</v>
      </c>
      <c r="G202" s="1" t="str">
        <f t="shared" si="97"/>
        <v>Разрешено</v>
      </c>
      <c r="L202" s="1">
        <v>5</v>
      </c>
      <c r="M202" s="1" t="s">
        <v>383</v>
      </c>
      <c r="N202" s="1" t="s">
        <v>280</v>
      </c>
      <c r="O202" s="1" t="s">
        <v>363</v>
      </c>
      <c r="P202" s="1">
        <v>61.9</v>
      </c>
      <c r="Q202" s="1">
        <v>24</v>
      </c>
      <c r="R202" s="1" t="s">
        <v>384</v>
      </c>
      <c r="S202" s="1">
        <f t="shared" si="91"/>
        <v>7</v>
      </c>
      <c r="T202" s="1">
        <v>12</v>
      </c>
      <c r="U202" s="1" t="s">
        <v>388</v>
      </c>
    </row>
    <row r="203" spans="2:21">
      <c r="B203" s="1" t="str">
        <f t="shared" si="92"/>
        <v>CEL Standard Premium Big</v>
      </c>
      <c r="C203" s="2">
        <f t="shared" si="93"/>
        <v>6</v>
      </c>
      <c r="D203" s="1" t="str">
        <f t="shared" si="94"/>
        <v>8-13</v>
      </c>
      <c r="E203" s="1" t="str">
        <f t="shared" si="95"/>
        <v>¥61,9 + ¥0,025/1 г</v>
      </c>
      <c r="F203" s="1" t="str">
        <f t="shared" si="96"/>
        <v>¥65,4 + ¥0,025/1 г</v>
      </c>
      <c r="G203" s="1" t="str">
        <f t="shared" si="97"/>
        <v>Разрешено</v>
      </c>
      <c r="L203" s="1">
        <v>6</v>
      </c>
      <c r="M203" s="1" t="s">
        <v>392</v>
      </c>
      <c r="N203" s="1" t="s">
        <v>280</v>
      </c>
      <c r="O203" s="1" t="s">
        <v>363</v>
      </c>
      <c r="P203" s="1">
        <v>61.9</v>
      </c>
      <c r="Q203" s="1">
        <v>25</v>
      </c>
      <c r="R203" s="1" t="s">
        <v>384</v>
      </c>
      <c r="S203" s="1">
        <f t="shared" si="91"/>
        <v>8</v>
      </c>
      <c r="T203" s="1">
        <v>13</v>
      </c>
      <c r="U203" s="1" t="s">
        <v>277</v>
      </c>
    </row>
    <row r="204" spans="2:21">
      <c r="B204" s="1" t="str">
        <f t="shared" si="92"/>
        <v>Ural Standard Premium Big</v>
      </c>
      <c r="C204" s="2">
        <f t="shared" si="93"/>
        <v>7</v>
      </c>
      <c r="D204" s="1" t="str">
        <f t="shared" si="94"/>
        <v>10-15</v>
      </c>
      <c r="E204" s="1" t="str">
        <f t="shared" si="95"/>
        <v>¥62 + ¥0,025/1 г</v>
      </c>
      <c r="F204" s="1" t="str">
        <f t="shared" si="96"/>
        <v>¥65,5 + ¥0,025/1 г</v>
      </c>
      <c r="G204" s="1" t="str">
        <f t="shared" si="97"/>
        <v>Разрешено</v>
      </c>
      <c r="L204" s="1">
        <v>7</v>
      </c>
      <c r="M204" s="1" t="s">
        <v>396</v>
      </c>
      <c r="N204" s="1" t="s">
        <v>280</v>
      </c>
      <c r="O204" s="1" t="s">
        <v>363</v>
      </c>
      <c r="P204" s="1">
        <v>62</v>
      </c>
      <c r="Q204" s="1">
        <v>25</v>
      </c>
      <c r="R204" s="1" t="s">
        <v>384</v>
      </c>
      <c r="S204" s="1">
        <f t="shared" si="91"/>
        <v>10</v>
      </c>
      <c r="T204" s="1">
        <v>15</v>
      </c>
      <c r="U204" s="1" t="s">
        <v>277</v>
      </c>
    </row>
    <row r="205" spans="2:21">
      <c r="B205" s="1" t="str">
        <f t="shared" si="92"/>
        <v>IML Standard Premium Big</v>
      </c>
      <c r="C205" s="2">
        <f t="shared" si="93"/>
        <v>7</v>
      </c>
      <c r="D205" s="1" t="str">
        <f t="shared" si="94"/>
        <v>9-14</v>
      </c>
      <c r="E205" s="1" t="str">
        <f t="shared" si="95"/>
        <v>¥61,95 + ¥0,025/1 г</v>
      </c>
      <c r="F205" s="1" t="str">
        <f t="shared" si="96"/>
        <v>¥65,45 + ¥0,025/1 г</v>
      </c>
      <c r="G205" s="1" t="str">
        <f t="shared" si="97"/>
        <v>Разрешено</v>
      </c>
      <c r="L205" s="1">
        <v>7</v>
      </c>
      <c r="M205" s="1" t="s">
        <v>395</v>
      </c>
      <c r="N205" s="1" t="s">
        <v>280</v>
      </c>
      <c r="O205" s="1" t="s">
        <v>363</v>
      </c>
      <c r="P205" s="1">
        <v>61.95</v>
      </c>
      <c r="Q205" s="1">
        <v>25</v>
      </c>
      <c r="R205" s="1" t="s">
        <v>384</v>
      </c>
      <c r="S205" s="1">
        <f t="shared" si="91"/>
        <v>9</v>
      </c>
      <c r="T205" s="1">
        <v>14</v>
      </c>
      <c r="U205" s="1" t="s">
        <v>277</v>
      </c>
    </row>
    <row r="206" spans="2:21">
      <c r="B206" s="1" t="str">
        <f t="shared" si="92"/>
        <v>ATC Standard Premium Big</v>
      </c>
      <c r="C206" s="2">
        <f t="shared" si="93"/>
        <v>9</v>
      </c>
      <c r="D206" s="1" t="str">
        <f t="shared" si="94"/>
        <v>10-15</v>
      </c>
      <c r="E206" s="1" t="str">
        <f t="shared" si="95"/>
        <v>¥62 + ¥0,025/1 г</v>
      </c>
      <c r="F206" s="1" t="str">
        <f t="shared" si="96"/>
        <v>¥65,5 + ¥0,025/1 г</v>
      </c>
      <c r="G206" s="1" t="str">
        <f t="shared" si="97"/>
        <v>Разрешено</v>
      </c>
      <c r="L206" s="1">
        <v>9</v>
      </c>
      <c r="M206" s="1" t="s">
        <v>399</v>
      </c>
      <c r="N206" s="1" t="s">
        <v>280</v>
      </c>
      <c r="O206" s="1" t="s">
        <v>363</v>
      </c>
      <c r="P206" s="1">
        <v>62</v>
      </c>
      <c r="Q206" s="1">
        <v>25</v>
      </c>
      <c r="R206" s="1" t="s">
        <v>384</v>
      </c>
      <c r="S206" s="1">
        <f t="shared" si="91"/>
        <v>10</v>
      </c>
      <c r="T206" s="1">
        <v>15</v>
      </c>
      <c r="U206" s="1" t="s">
        <v>388</v>
      </c>
    </row>
    <row r="207" s="5" customFormat="1" spans="2:21">
      <c r="B207" s="5" t="str">
        <f t="shared" si="92"/>
        <v>TFS Standard Premium Big</v>
      </c>
      <c r="C207" s="8">
        <f t="shared" si="93"/>
        <v>10</v>
      </c>
      <c r="D207" s="5" t="str">
        <f t="shared" si="94"/>
        <v>10-15</v>
      </c>
      <c r="E207" s="5" t="str">
        <f t="shared" si="95"/>
        <v>¥62 + ¥0,025/1 г</v>
      </c>
      <c r="F207" s="5" t="str">
        <f t="shared" si="96"/>
        <v>¥65,5 + ¥0,025/1 г</v>
      </c>
      <c r="G207" s="5" t="str">
        <f t="shared" si="97"/>
        <v>Разрешено</v>
      </c>
      <c r="L207" s="5">
        <v>10</v>
      </c>
      <c r="M207" s="5" t="s">
        <v>398</v>
      </c>
      <c r="N207" s="5" t="s">
        <v>280</v>
      </c>
      <c r="O207" s="5" t="s">
        <v>363</v>
      </c>
      <c r="P207" s="5">
        <v>62</v>
      </c>
      <c r="Q207" s="5">
        <v>25</v>
      </c>
      <c r="R207" s="5" t="s">
        <v>384</v>
      </c>
      <c r="S207" s="5">
        <f t="shared" si="91"/>
        <v>10</v>
      </c>
      <c r="T207" s="5">
        <v>15</v>
      </c>
      <c r="U207" s="5" t="s">
        <v>388</v>
      </c>
    </row>
    <row r="209" spans="2:21">
      <c r="B209" s="1" t="str">
        <f t="shared" ref="B209:B215" si="98">M209&amp;" "&amp;N209&amp;" "&amp;O209</f>
        <v>RETS Economy Premium Big</v>
      </c>
      <c r="C209" s="2">
        <f t="shared" ref="C209:C215" si="99">L209</f>
        <v>1</v>
      </c>
      <c r="D209" s="1" t="str">
        <f t="shared" ref="D209:D215" si="100">T209-5&amp;"-"&amp;T209</f>
        <v>13-18</v>
      </c>
      <c r="E209" s="1" t="str">
        <f t="shared" ref="E209:E215" si="101">IF(R209="CNY","¥"&amp;P209&amp;" + ¥"&amp;Q209/1000&amp;"/1 г",IF(R209="USD","$"&amp;P209&amp;" + $"&amp;Q209/1000&amp;"/1 г","Error"))</f>
        <v>¥61,9 + ¥0,017/1 г</v>
      </c>
      <c r="F209" s="1" t="str">
        <f t="shared" ref="F209:F215" si="102">IF(R209="CNY","¥"&amp;P209+3.5&amp;" + ¥"&amp;Q209/1000&amp;"/1 г",IF(R209="USD","$"&amp;P209+0.49&amp;" + $"&amp;Q209/1000&amp;"/1 г","Error"))</f>
        <v>¥65,4 + ¥0,017/1 г</v>
      </c>
      <c r="G209" s="1" t="str">
        <f t="shared" ref="G209:G215" si="103">IF(OR(U209="Разрешено",U209="允许"),"Разрешено",IF(OR(U209="Запрещено",U209="禁止"),"Запрещено","Error"))</f>
        <v>Разрешено</v>
      </c>
      <c r="L209" s="1">
        <v>1</v>
      </c>
      <c r="M209" s="1" t="s">
        <v>383</v>
      </c>
      <c r="N209" s="1" t="s">
        <v>287</v>
      </c>
      <c r="O209" s="1" t="s">
        <v>363</v>
      </c>
      <c r="P209" s="1">
        <v>61.9</v>
      </c>
      <c r="Q209" s="1">
        <v>17</v>
      </c>
      <c r="R209" s="1" t="s">
        <v>384</v>
      </c>
      <c r="S209" s="1">
        <f t="shared" si="91"/>
        <v>13</v>
      </c>
      <c r="T209" s="1">
        <v>18</v>
      </c>
      <c r="U209" s="1" t="s">
        <v>388</v>
      </c>
    </row>
    <row r="210" spans="2:21">
      <c r="B210" s="1" t="str">
        <f t="shared" si="98"/>
        <v>CEL Economy Premium Big</v>
      </c>
      <c r="C210" s="2">
        <f t="shared" si="99"/>
        <v>2</v>
      </c>
      <c r="D210" s="1" t="str">
        <f t="shared" si="100"/>
        <v>15-20</v>
      </c>
      <c r="E210" s="1" t="str">
        <f t="shared" si="101"/>
        <v>¥61,9 + ¥0,017/1 г</v>
      </c>
      <c r="F210" s="1" t="str">
        <f t="shared" si="102"/>
        <v>¥65,4 + ¥0,017/1 г</v>
      </c>
      <c r="G210" s="1" t="str">
        <f t="shared" si="103"/>
        <v>Разрешено</v>
      </c>
      <c r="L210" s="1">
        <v>2</v>
      </c>
      <c r="M210" s="1" t="s">
        <v>392</v>
      </c>
      <c r="N210" s="1" t="s">
        <v>287</v>
      </c>
      <c r="O210" s="1" t="s">
        <v>363</v>
      </c>
      <c r="P210" s="1">
        <v>61.9</v>
      </c>
      <c r="Q210" s="1">
        <v>17</v>
      </c>
      <c r="R210" s="1" t="s">
        <v>384</v>
      </c>
      <c r="S210" s="1">
        <f t="shared" si="91"/>
        <v>15</v>
      </c>
      <c r="T210" s="1">
        <v>20</v>
      </c>
      <c r="U210" s="1" t="s">
        <v>277</v>
      </c>
    </row>
    <row r="211" spans="2:21">
      <c r="B211" s="1" t="str">
        <f t="shared" si="98"/>
        <v>UNI Economy Premium Big</v>
      </c>
      <c r="C211" s="2">
        <f t="shared" si="99"/>
        <v>3</v>
      </c>
      <c r="D211" s="1" t="str">
        <f t="shared" si="100"/>
        <v>20-25</v>
      </c>
      <c r="E211" s="1" t="str">
        <f t="shared" si="101"/>
        <v>$8,31 + $0,00228/1 г</v>
      </c>
      <c r="F211" s="1" t="str">
        <f t="shared" si="102"/>
        <v>$8,8 + $0,00228/1 г</v>
      </c>
      <c r="G211" s="1" t="str">
        <f t="shared" si="103"/>
        <v>Разрешено</v>
      </c>
      <c r="L211" s="1">
        <v>3</v>
      </c>
      <c r="M211" s="1" t="s">
        <v>386</v>
      </c>
      <c r="N211" s="1" t="s">
        <v>287</v>
      </c>
      <c r="O211" s="1" t="s">
        <v>363</v>
      </c>
      <c r="P211" s="1">
        <v>8.31</v>
      </c>
      <c r="Q211" s="1">
        <v>2.28</v>
      </c>
      <c r="R211" s="1" t="s">
        <v>387</v>
      </c>
      <c r="S211" s="1">
        <f t="shared" si="91"/>
        <v>20</v>
      </c>
      <c r="T211" s="1">
        <v>25</v>
      </c>
      <c r="U211" s="1" t="s">
        <v>388</v>
      </c>
    </row>
    <row r="212" spans="2:21">
      <c r="B212" s="1" t="str">
        <f t="shared" si="98"/>
        <v>GUOO Economy Premium Big</v>
      </c>
      <c r="C212" s="2">
        <f t="shared" si="99"/>
        <v>4</v>
      </c>
      <c r="D212" s="1" t="str">
        <f t="shared" si="100"/>
        <v>15-20</v>
      </c>
      <c r="E212" s="1" t="str">
        <f t="shared" si="101"/>
        <v>¥62 + ¥0,017/1 г</v>
      </c>
      <c r="F212" s="1" t="str">
        <f t="shared" si="102"/>
        <v>¥65,5 + ¥0,017/1 г</v>
      </c>
      <c r="G212" s="1" t="str">
        <f t="shared" si="103"/>
        <v>Разрешено</v>
      </c>
      <c r="L212" s="1">
        <v>4</v>
      </c>
      <c r="M212" s="1" t="s">
        <v>397</v>
      </c>
      <c r="N212" s="1" t="s">
        <v>287</v>
      </c>
      <c r="O212" s="1" t="s">
        <v>363</v>
      </c>
      <c r="P212" s="1">
        <v>62</v>
      </c>
      <c r="Q212" s="1">
        <v>17</v>
      </c>
      <c r="R212" s="1" t="s">
        <v>384</v>
      </c>
      <c r="S212" s="1">
        <f t="shared" si="91"/>
        <v>15</v>
      </c>
      <c r="T212" s="1">
        <v>20</v>
      </c>
      <c r="U212" s="1" t="s">
        <v>277</v>
      </c>
    </row>
    <row r="213" spans="2:21">
      <c r="B213" s="1" t="str">
        <f t="shared" si="98"/>
        <v>IML Economy Premium Big</v>
      </c>
      <c r="C213" s="2">
        <f t="shared" si="99"/>
        <v>5</v>
      </c>
      <c r="D213" s="1" t="str">
        <f t="shared" si="100"/>
        <v>19-24</v>
      </c>
      <c r="E213" s="1" t="str">
        <f t="shared" si="101"/>
        <v>¥61,95 + ¥0,017/1 г</v>
      </c>
      <c r="F213" s="1" t="str">
        <f t="shared" si="102"/>
        <v>¥65,45 + ¥0,017/1 г</v>
      </c>
      <c r="G213" s="1" t="str">
        <f t="shared" si="103"/>
        <v>Разрешено</v>
      </c>
      <c r="L213" s="1">
        <v>5</v>
      </c>
      <c r="M213" s="1" t="s">
        <v>395</v>
      </c>
      <c r="N213" s="1" t="s">
        <v>287</v>
      </c>
      <c r="O213" s="1" t="s">
        <v>363</v>
      </c>
      <c r="P213" s="1">
        <v>61.95</v>
      </c>
      <c r="Q213" s="1">
        <v>17</v>
      </c>
      <c r="R213" s="1" t="s">
        <v>384</v>
      </c>
      <c r="S213" s="1">
        <f t="shared" si="91"/>
        <v>19</v>
      </c>
      <c r="T213" s="1">
        <v>24</v>
      </c>
      <c r="U213" s="1" t="s">
        <v>277</v>
      </c>
    </row>
    <row r="214" spans="2:21">
      <c r="B214" s="1" t="str">
        <f t="shared" si="98"/>
        <v>ATC Economy Premium Big</v>
      </c>
      <c r="C214" s="2">
        <f t="shared" si="99"/>
        <v>6</v>
      </c>
      <c r="D214" s="1" t="str">
        <f t="shared" si="100"/>
        <v>20-25</v>
      </c>
      <c r="E214" s="1" t="str">
        <f t="shared" si="101"/>
        <v>¥61,98 + ¥0,017/1 г</v>
      </c>
      <c r="F214" s="1" t="str">
        <f t="shared" si="102"/>
        <v>¥65,48 + ¥0,017/1 г</v>
      </c>
      <c r="G214" s="1" t="str">
        <f t="shared" si="103"/>
        <v>Разрешено</v>
      </c>
      <c r="L214" s="1">
        <v>6</v>
      </c>
      <c r="M214" s="1" t="s">
        <v>399</v>
      </c>
      <c r="N214" s="1" t="s">
        <v>287</v>
      </c>
      <c r="O214" s="1" t="s">
        <v>363</v>
      </c>
      <c r="P214" s="1">
        <v>61.98</v>
      </c>
      <c r="Q214" s="1">
        <v>17</v>
      </c>
      <c r="R214" s="1" t="s">
        <v>384</v>
      </c>
      <c r="S214" s="1">
        <f t="shared" si="91"/>
        <v>20</v>
      </c>
      <c r="T214" s="1">
        <v>25</v>
      </c>
      <c r="U214" s="1" t="s">
        <v>388</v>
      </c>
    </row>
    <row r="215" s="5" customFormat="1" spans="2:21">
      <c r="B215" s="5" t="str">
        <f t="shared" si="98"/>
        <v>TFS Economy Premium Big</v>
      </c>
      <c r="C215" s="8">
        <f t="shared" si="99"/>
        <v>7</v>
      </c>
      <c r="D215" s="5" t="str">
        <f t="shared" si="100"/>
        <v>15-20</v>
      </c>
      <c r="E215" s="5" t="str">
        <f t="shared" si="101"/>
        <v>¥62 + ¥0,017/1 г</v>
      </c>
      <c r="F215" s="5" t="str">
        <f t="shared" si="102"/>
        <v>¥65,5 + ¥0,017/1 г</v>
      </c>
      <c r="G215" s="5" t="str">
        <f t="shared" si="103"/>
        <v>Разрешено</v>
      </c>
      <c r="L215" s="5">
        <v>7</v>
      </c>
      <c r="M215" s="5" t="s">
        <v>398</v>
      </c>
      <c r="N215" s="5" t="s">
        <v>287</v>
      </c>
      <c r="O215" s="5" t="s">
        <v>363</v>
      </c>
      <c r="P215" s="5">
        <v>62</v>
      </c>
      <c r="Q215" s="5">
        <v>17</v>
      </c>
      <c r="R215" s="5" t="s">
        <v>384</v>
      </c>
      <c r="S215" s="5">
        <f t="shared" si="91"/>
        <v>15</v>
      </c>
      <c r="T215" s="5">
        <v>20</v>
      </c>
      <c r="U215" s="5" t="s">
        <v>388</v>
      </c>
    </row>
  </sheetData>
  <conditionalFormatting sqref="E3:G215">
    <cfRule type="cellIs" dxfId="0" priority="1" operator="equal">
      <formula>"Error"</formula>
    </cfRule>
  </conditionalFormatting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U215"/>
  <sheetViews>
    <sheetView zoomScale="90" zoomScaleNormal="90" workbookViewId="0">
      <selection activeCell="F78" sqref="F78"/>
    </sheetView>
  </sheetViews>
  <sheetFormatPr defaultColWidth="9.0859375" defaultRowHeight="12"/>
  <cols>
    <col min="1" max="1" width="4.0859375" style="1" customWidth="1"/>
    <col min="2" max="2" width="29.0859375" style="1" customWidth="1"/>
    <col min="3" max="3" width="10.5859375" style="2" customWidth="1"/>
    <col min="4" max="4" width="14.0859375" style="1" customWidth="1"/>
    <col min="5" max="6" width="14.5" style="1" customWidth="1"/>
    <col min="7" max="11" width="9.0859375" style="1"/>
    <col min="12" max="12" width="5.8359375" style="1" customWidth="1"/>
    <col min="13" max="14" width="9.0859375" style="1"/>
    <col min="15" max="15" width="10.5859375" style="1" customWidth="1"/>
    <col min="16" max="17" width="9.0859375" style="1"/>
    <col min="18" max="19" width="6.5" style="1" customWidth="1"/>
    <col min="20" max="20" width="8.5859375" style="1" customWidth="1"/>
    <col min="21" max="21" width="9.0859375" style="1"/>
    <col min="22" max="22" width="16.5859375" style="1" customWidth="1"/>
    <col min="23" max="16384" width="9.0859375" style="1"/>
  </cols>
  <sheetData>
    <row r="2" ht="36" spans="1:21">
      <c r="A2" s="1" t="s">
        <v>371</v>
      </c>
      <c r="B2" s="1" t="s">
        <v>372</v>
      </c>
      <c r="C2" s="2" t="s">
        <v>373</v>
      </c>
      <c r="D2" s="3" t="s">
        <v>374</v>
      </c>
      <c r="E2" s="1" t="s">
        <v>375</v>
      </c>
      <c r="F2" s="1" t="s">
        <v>376</v>
      </c>
      <c r="G2" s="1" t="s">
        <v>377</v>
      </c>
      <c r="P2" s="1" t="s">
        <v>378</v>
      </c>
      <c r="Q2" s="1" t="s">
        <v>379</v>
      </c>
      <c r="R2" s="1" t="s">
        <v>380</v>
      </c>
      <c r="S2" s="1" t="s">
        <v>381</v>
      </c>
      <c r="T2" s="1" t="s">
        <v>382</v>
      </c>
      <c r="U2" s="1" t="s">
        <v>377</v>
      </c>
    </row>
    <row r="3" spans="2:21">
      <c r="B3" s="1" t="str">
        <f t="shared" ref="B3:B14" si="0">M3&amp;" "&amp;N3&amp;" "&amp;O3</f>
        <v>RETS Express Extra Small</v>
      </c>
      <c r="C3" s="2">
        <f t="shared" ref="C3:C14" si="1">L3</f>
        <v>1</v>
      </c>
      <c r="D3" s="1" t="str">
        <f t="shared" ref="D3:D14" si="2">T3-5&amp;"-"&amp;T3</f>
        <v>3-8</v>
      </c>
      <c r="E3" s="1" t="str">
        <f t="shared" ref="E3:E14" si="3">IF(R3="CNY","¥"&amp;P3&amp;" + ¥"&amp;Q3/1000&amp;"/1 г",IF(R3="USD","$"&amp;P3&amp;" + $"&amp;Q3/1000&amp;"/1 г","Error"))</f>
        <v>¥2,75 + ¥0,0385/1 г</v>
      </c>
      <c r="F3" s="1" t="s">
        <v>270</v>
      </c>
      <c r="G3" s="1" t="str">
        <f t="shared" ref="G3:G14" si="4">IF(OR(U3="Разрешено",U3="允许"),"Разрешено",IF(OR(U3="Запрещено",U3="禁止"),"Запрещено","Error"))</f>
        <v>Запрещено</v>
      </c>
      <c r="L3" s="1">
        <v>1</v>
      </c>
      <c r="M3" s="1" t="s">
        <v>383</v>
      </c>
      <c r="N3" s="1" t="s">
        <v>261</v>
      </c>
      <c r="O3" s="1" t="s">
        <v>260</v>
      </c>
      <c r="P3" s="1">
        <v>2.75</v>
      </c>
      <c r="Q3" s="1">
        <v>38.5</v>
      </c>
      <c r="R3" s="1" t="s">
        <v>384</v>
      </c>
      <c r="S3" s="1">
        <f>T3-5</f>
        <v>3</v>
      </c>
      <c r="T3" s="1">
        <v>8</v>
      </c>
      <c r="U3" s="1" t="s">
        <v>385</v>
      </c>
    </row>
    <row r="4" spans="2:21">
      <c r="B4" s="1" t="str">
        <f t="shared" si="0"/>
        <v>UNI Express Extra Small</v>
      </c>
      <c r="C4" s="2">
        <f t="shared" si="1"/>
        <v>2</v>
      </c>
      <c r="D4" s="1" t="str">
        <f t="shared" si="2"/>
        <v>5-10</v>
      </c>
      <c r="E4" s="1" t="str">
        <f t="shared" si="3"/>
        <v>$0,38 + $0,00522/1 г</v>
      </c>
      <c r="F4" s="1" t="s">
        <v>270</v>
      </c>
      <c r="G4" s="1" t="str">
        <f t="shared" si="4"/>
        <v>Разрешено</v>
      </c>
      <c r="L4" s="1">
        <v>2</v>
      </c>
      <c r="M4" s="1" t="s">
        <v>386</v>
      </c>
      <c r="N4" s="1" t="s">
        <v>261</v>
      </c>
      <c r="O4" s="1" t="s">
        <v>260</v>
      </c>
      <c r="P4" s="1">
        <v>0.38</v>
      </c>
      <c r="Q4" s="1">
        <v>5.22</v>
      </c>
      <c r="R4" s="1" t="s">
        <v>387</v>
      </c>
      <c r="S4" s="1">
        <f t="shared" ref="S4:S66" si="5">T4-5</f>
        <v>5</v>
      </c>
      <c r="T4" s="1">
        <v>10</v>
      </c>
      <c r="U4" s="1" t="s">
        <v>388</v>
      </c>
    </row>
    <row r="5" spans="2:21">
      <c r="B5" s="1" t="str">
        <f t="shared" si="0"/>
        <v>ABT  Express Extra Small</v>
      </c>
      <c r="C5" s="2">
        <f t="shared" si="1"/>
        <v>3</v>
      </c>
      <c r="D5" s="1" t="str">
        <f t="shared" si="2"/>
        <v>5-10</v>
      </c>
      <c r="E5" s="1" t="str">
        <f t="shared" si="3"/>
        <v>¥2,8 + ¥0,039/1 г</v>
      </c>
      <c r="F5" s="1" t="s">
        <v>270</v>
      </c>
      <c r="G5" s="1" t="str">
        <f t="shared" si="4"/>
        <v>Запрещено</v>
      </c>
      <c r="L5" s="1">
        <v>3</v>
      </c>
      <c r="M5" s="1" t="s">
        <v>389</v>
      </c>
      <c r="N5" s="1" t="s">
        <v>261</v>
      </c>
      <c r="O5" s="1" t="s">
        <v>260</v>
      </c>
      <c r="P5" s="1">
        <v>2.8</v>
      </c>
      <c r="Q5" s="1">
        <v>39</v>
      </c>
      <c r="R5" s="1" t="s">
        <v>384</v>
      </c>
      <c r="S5" s="1">
        <f t="shared" si="5"/>
        <v>5</v>
      </c>
      <c r="T5" s="1">
        <v>10</v>
      </c>
      <c r="U5" s="1" t="s">
        <v>264</v>
      </c>
    </row>
    <row r="6" spans="2:21">
      <c r="B6" s="1" t="str">
        <f t="shared" si="0"/>
        <v>OYX  Express Extra Small</v>
      </c>
      <c r="C6" s="2">
        <f t="shared" si="1"/>
        <v>4</v>
      </c>
      <c r="D6" s="1" t="str">
        <f t="shared" si="2"/>
        <v>5-10</v>
      </c>
      <c r="E6" s="1" t="str">
        <f t="shared" si="3"/>
        <v>¥2,9 + ¥0,0388/1 г</v>
      </c>
      <c r="F6" s="1" t="s">
        <v>270</v>
      </c>
      <c r="G6" s="1" t="str">
        <f t="shared" si="4"/>
        <v>Запрещено</v>
      </c>
      <c r="L6" s="1">
        <v>4</v>
      </c>
      <c r="M6" s="1" t="s">
        <v>390</v>
      </c>
      <c r="N6" s="1" t="s">
        <v>261</v>
      </c>
      <c r="O6" s="1" t="s">
        <v>260</v>
      </c>
      <c r="P6" s="1">
        <v>2.9</v>
      </c>
      <c r="Q6" s="1">
        <v>38.8</v>
      </c>
      <c r="R6" s="1" t="s">
        <v>384</v>
      </c>
      <c r="S6" s="1">
        <f t="shared" si="5"/>
        <v>5</v>
      </c>
      <c r="T6" s="1">
        <v>10</v>
      </c>
      <c r="U6" s="1" t="s">
        <v>264</v>
      </c>
    </row>
    <row r="7" spans="2:21">
      <c r="B7" s="1" t="str">
        <f t="shared" si="0"/>
        <v>Xingyuan Express Extra Small</v>
      </c>
      <c r="C7" s="2">
        <f t="shared" si="1"/>
        <v>5</v>
      </c>
      <c r="D7" s="1" t="str">
        <f t="shared" si="2"/>
        <v>5-10</v>
      </c>
      <c r="E7" s="1" t="str">
        <f t="shared" si="3"/>
        <v>¥2,9 + ¥0,039/1 г</v>
      </c>
      <c r="F7" s="1" t="s">
        <v>270</v>
      </c>
      <c r="G7" s="1" t="str">
        <f t="shared" si="4"/>
        <v>Запрещено</v>
      </c>
      <c r="L7" s="1">
        <v>5</v>
      </c>
      <c r="M7" s="1" t="s">
        <v>391</v>
      </c>
      <c r="N7" s="1" t="s">
        <v>261</v>
      </c>
      <c r="O7" s="1" t="s">
        <v>260</v>
      </c>
      <c r="P7" s="1">
        <v>2.9</v>
      </c>
      <c r="Q7" s="1">
        <v>39</v>
      </c>
      <c r="R7" s="1" t="s">
        <v>384</v>
      </c>
      <c r="S7" s="1">
        <f t="shared" si="5"/>
        <v>5</v>
      </c>
      <c r="T7" s="1">
        <v>10</v>
      </c>
      <c r="U7" s="1" t="s">
        <v>264</v>
      </c>
    </row>
    <row r="8" spans="2:21">
      <c r="B8" s="1" t="str">
        <f t="shared" si="0"/>
        <v>CEL Express Extra Small</v>
      </c>
      <c r="C8" s="2">
        <f t="shared" si="1"/>
        <v>6</v>
      </c>
      <c r="D8" s="1" t="str">
        <f t="shared" si="2"/>
        <v>5-10</v>
      </c>
      <c r="E8" s="1" t="str">
        <f t="shared" si="3"/>
        <v>¥2,8 + ¥0,04/1 г</v>
      </c>
      <c r="F8" s="1" t="s">
        <v>270</v>
      </c>
      <c r="G8" s="1" t="str">
        <f t="shared" si="4"/>
        <v>Запрещено</v>
      </c>
      <c r="L8" s="1">
        <v>6</v>
      </c>
      <c r="M8" s="1" t="s">
        <v>392</v>
      </c>
      <c r="N8" s="1" t="s">
        <v>261</v>
      </c>
      <c r="O8" s="1" t="s">
        <v>260</v>
      </c>
      <c r="P8" s="1">
        <v>2.8</v>
      </c>
      <c r="Q8" s="1">
        <v>40</v>
      </c>
      <c r="R8" s="1" t="s">
        <v>384</v>
      </c>
      <c r="S8" s="1">
        <f t="shared" si="5"/>
        <v>5</v>
      </c>
      <c r="T8" s="1">
        <v>10</v>
      </c>
      <c r="U8" s="1" t="s">
        <v>264</v>
      </c>
    </row>
    <row r="9" spans="2:21">
      <c r="B9" s="1" t="str">
        <f t="shared" si="0"/>
        <v>ZTO Express Extra Small</v>
      </c>
      <c r="C9" s="2">
        <f t="shared" si="1"/>
        <v>7</v>
      </c>
      <c r="D9" s="1" t="str">
        <f t="shared" si="2"/>
        <v>5-10</v>
      </c>
      <c r="E9" s="1" t="str">
        <f t="shared" si="3"/>
        <v>¥3 + ¥0,045/1 г</v>
      </c>
      <c r="F9" s="1" t="s">
        <v>270</v>
      </c>
      <c r="G9" s="1" t="str">
        <f t="shared" si="4"/>
        <v>Запрещено</v>
      </c>
      <c r="L9" s="1">
        <v>7</v>
      </c>
      <c r="M9" s="1" t="s">
        <v>393</v>
      </c>
      <c r="N9" s="1" t="s">
        <v>261</v>
      </c>
      <c r="O9" s="1" t="s">
        <v>260</v>
      </c>
      <c r="P9" s="1">
        <v>3</v>
      </c>
      <c r="Q9" s="1">
        <v>45</v>
      </c>
      <c r="R9" s="1" t="s">
        <v>384</v>
      </c>
      <c r="S9" s="1">
        <f t="shared" si="5"/>
        <v>5</v>
      </c>
      <c r="T9" s="1">
        <v>10</v>
      </c>
      <c r="U9" s="1" t="s">
        <v>264</v>
      </c>
    </row>
    <row r="10" spans="2:21">
      <c r="B10" s="1" t="str">
        <f t="shared" si="0"/>
        <v>Tanais Express Extra Small</v>
      </c>
      <c r="C10" s="2">
        <f t="shared" si="1"/>
        <v>8</v>
      </c>
      <c r="D10" s="1" t="str">
        <f t="shared" si="2"/>
        <v>3-8</v>
      </c>
      <c r="E10" s="1" t="str">
        <f t="shared" si="3"/>
        <v>¥2,95 + ¥0,0449/1 г</v>
      </c>
      <c r="F10" s="1" t="s">
        <v>270</v>
      </c>
      <c r="G10" s="1" t="str">
        <f t="shared" si="4"/>
        <v>Запрещено</v>
      </c>
      <c r="L10" s="1">
        <v>8</v>
      </c>
      <c r="M10" s="1" t="s">
        <v>394</v>
      </c>
      <c r="N10" s="1" t="s">
        <v>261</v>
      </c>
      <c r="O10" s="1" t="s">
        <v>260</v>
      </c>
      <c r="P10" s="1">
        <v>2.95</v>
      </c>
      <c r="Q10" s="1">
        <v>44.9</v>
      </c>
      <c r="R10" s="1" t="s">
        <v>384</v>
      </c>
      <c r="S10" s="1">
        <f t="shared" si="5"/>
        <v>3</v>
      </c>
      <c r="T10" s="1">
        <v>8</v>
      </c>
      <c r="U10" s="1" t="s">
        <v>385</v>
      </c>
    </row>
    <row r="11" spans="2:21">
      <c r="B11" s="1" t="str">
        <f t="shared" si="0"/>
        <v>IML Express Extra Small</v>
      </c>
      <c r="C11" s="2">
        <f t="shared" si="1"/>
        <v>9</v>
      </c>
      <c r="D11" s="1" t="str">
        <f t="shared" si="2"/>
        <v>3-8</v>
      </c>
      <c r="E11" s="1" t="str">
        <f t="shared" si="3"/>
        <v>¥2,95 + ¥0,045/1 г</v>
      </c>
      <c r="F11" s="1" t="s">
        <v>270</v>
      </c>
      <c r="G11" s="1" t="str">
        <f t="shared" si="4"/>
        <v>Разрешено</v>
      </c>
      <c r="L11" s="1">
        <v>9</v>
      </c>
      <c r="M11" s="1" t="s">
        <v>395</v>
      </c>
      <c r="N11" s="1" t="s">
        <v>261</v>
      </c>
      <c r="O11" s="1" t="s">
        <v>260</v>
      </c>
      <c r="P11" s="1">
        <v>2.95</v>
      </c>
      <c r="Q11" s="1">
        <v>45</v>
      </c>
      <c r="R11" s="1" t="s">
        <v>384</v>
      </c>
      <c r="S11" s="1">
        <f t="shared" si="5"/>
        <v>3</v>
      </c>
      <c r="T11" s="1">
        <v>8</v>
      </c>
      <c r="U11" s="1" t="s">
        <v>277</v>
      </c>
    </row>
    <row r="12" spans="2:21">
      <c r="B12" s="1" t="str">
        <f t="shared" si="0"/>
        <v>Ural Express Extra Small</v>
      </c>
      <c r="C12" s="2">
        <f t="shared" si="1"/>
        <v>10</v>
      </c>
      <c r="D12" s="1" t="str">
        <f t="shared" si="2"/>
        <v>5-10</v>
      </c>
      <c r="E12" s="1" t="str">
        <f t="shared" si="3"/>
        <v>¥3 + ¥0,045/1 г</v>
      </c>
      <c r="F12" s="1" t="s">
        <v>270</v>
      </c>
      <c r="G12" s="1" t="str">
        <f t="shared" si="4"/>
        <v>Запрещено</v>
      </c>
      <c r="L12" s="1">
        <v>10</v>
      </c>
      <c r="M12" s="1" t="s">
        <v>396</v>
      </c>
      <c r="N12" s="1" t="s">
        <v>261</v>
      </c>
      <c r="O12" s="1" t="s">
        <v>260</v>
      </c>
      <c r="P12" s="1">
        <v>3</v>
      </c>
      <c r="Q12" s="1">
        <v>45</v>
      </c>
      <c r="R12" s="1" t="s">
        <v>384</v>
      </c>
      <c r="S12" s="1">
        <f t="shared" si="5"/>
        <v>5</v>
      </c>
      <c r="T12" s="1">
        <v>10</v>
      </c>
      <c r="U12" s="1" t="s">
        <v>264</v>
      </c>
    </row>
    <row r="13" spans="2:21">
      <c r="B13" s="1" t="str">
        <f t="shared" si="0"/>
        <v>GUOO Express Extra Small</v>
      </c>
      <c r="C13" s="2">
        <f t="shared" si="1"/>
        <v>11</v>
      </c>
      <c r="D13" s="1" t="str">
        <f t="shared" si="2"/>
        <v>5-10</v>
      </c>
      <c r="E13" s="1" t="str">
        <f t="shared" si="3"/>
        <v>¥3 + ¥0,045/1 г</v>
      </c>
      <c r="F13" s="1" t="s">
        <v>270</v>
      </c>
      <c r="G13" s="1" t="str">
        <f t="shared" si="4"/>
        <v>Запрещено</v>
      </c>
      <c r="L13" s="1">
        <v>11</v>
      </c>
      <c r="M13" s="1" t="s">
        <v>397</v>
      </c>
      <c r="N13" s="1" t="s">
        <v>261</v>
      </c>
      <c r="O13" s="1" t="s">
        <v>260</v>
      </c>
      <c r="P13" s="1">
        <v>3</v>
      </c>
      <c r="Q13" s="1">
        <v>45</v>
      </c>
      <c r="R13" s="1" t="s">
        <v>384</v>
      </c>
      <c r="S13" s="1">
        <f t="shared" si="5"/>
        <v>5</v>
      </c>
      <c r="T13" s="1">
        <v>10</v>
      </c>
      <c r="U13" s="1" t="s">
        <v>264</v>
      </c>
    </row>
    <row r="14" spans="2:21">
      <c r="B14" s="1" t="str">
        <f t="shared" si="0"/>
        <v>TFS Express Extra Small</v>
      </c>
      <c r="C14" s="2">
        <f t="shared" si="1"/>
        <v>12</v>
      </c>
      <c r="D14" s="1" t="str">
        <f t="shared" si="2"/>
        <v>5-10</v>
      </c>
      <c r="E14" s="1" t="str">
        <f t="shared" si="3"/>
        <v>¥3 + ¥0,045/1 г</v>
      </c>
      <c r="F14" s="1" t="s">
        <v>270</v>
      </c>
      <c r="G14" s="1" t="str">
        <f t="shared" si="4"/>
        <v>Разрешено</v>
      </c>
      <c r="L14" s="1">
        <v>12</v>
      </c>
      <c r="M14" s="1" t="s">
        <v>398</v>
      </c>
      <c r="N14" s="1" t="s">
        <v>261</v>
      </c>
      <c r="O14" s="1" t="s">
        <v>260</v>
      </c>
      <c r="P14" s="1">
        <v>3</v>
      </c>
      <c r="Q14" s="1">
        <v>45</v>
      </c>
      <c r="R14" s="1" t="s">
        <v>384</v>
      </c>
      <c r="S14" s="1">
        <f t="shared" si="5"/>
        <v>5</v>
      </c>
      <c r="T14" s="1">
        <v>10</v>
      </c>
      <c r="U14" s="1" t="s">
        <v>388</v>
      </c>
    </row>
    <row r="16" spans="2:21">
      <c r="B16" s="1" t="str">
        <f t="shared" ref="B16:B28" si="6">M16&amp;" "&amp;N16&amp;" "&amp;O16</f>
        <v>RETS Standard Extra Small</v>
      </c>
      <c r="C16" s="2">
        <f t="shared" ref="C16:C28" si="7">L16</f>
        <v>1</v>
      </c>
      <c r="D16" s="1" t="str">
        <f t="shared" ref="D16:D28" si="8">T16-5&amp;"-"&amp;T16</f>
        <v>7-12</v>
      </c>
      <c r="E16" s="1" t="str">
        <f t="shared" ref="E16:E28" si="9">IF(R16="CNY","¥"&amp;P16&amp;" + ¥"&amp;Q16/1000&amp;"/1 г",IF(R16="USD","$"&amp;P16&amp;" + $"&amp;Q16/1000&amp;"/1 г","Error"))</f>
        <v>¥2,85 + ¥0,0265/1 г</v>
      </c>
      <c r="F16" s="1" t="s">
        <v>270</v>
      </c>
      <c r="G16" s="1" t="str">
        <f t="shared" ref="G16:G28" si="10">IF(OR(U16="Разрешено",U16="允许"),"Разрешено",IF(OR(U16="Запрещено",U16="禁止"),"Запрещено","Error"))</f>
        <v>Разрешено</v>
      </c>
      <c r="L16" s="1">
        <v>1</v>
      </c>
      <c r="M16" s="1" t="s">
        <v>383</v>
      </c>
      <c r="N16" s="1" t="s">
        <v>280</v>
      </c>
      <c r="O16" s="1" t="s">
        <v>260</v>
      </c>
      <c r="P16" s="1">
        <v>2.85</v>
      </c>
      <c r="Q16" s="1">
        <v>26.5</v>
      </c>
      <c r="R16" s="1" t="s">
        <v>384</v>
      </c>
      <c r="S16" s="1">
        <f t="shared" si="5"/>
        <v>7</v>
      </c>
      <c r="T16" s="1">
        <v>12</v>
      </c>
      <c r="U16" s="1" t="s">
        <v>388</v>
      </c>
    </row>
    <row r="17" spans="2:21">
      <c r="B17" s="1" t="str">
        <f t="shared" si="6"/>
        <v>UNI Standard Extra Small</v>
      </c>
      <c r="C17" s="2">
        <f t="shared" si="7"/>
        <v>2</v>
      </c>
      <c r="D17" s="1" t="str">
        <f t="shared" si="8"/>
        <v>10-15</v>
      </c>
      <c r="E17" s="1" t="str">
        <f t="shared" si="9"/>
        <v>$0,39 + $0,00359/1 г</v>
      </c>
      <c r="F17" s="1" t="s">
        <v>270</v>
      </c>
      <c r="G17" s="1" t="str">
        <f t="shared" si="10"/>
        <v>Разрешено</v>
      </c>
      <c r="L17" s="1">
        <v>2</v>
      </c>
      <c r="M17" s="1" t="s">
        <v>386</v>
      </c>
      <c r="N17" s="1" t="s">
        <v>280</v>
      </c>
      <c r="O17" s="1" t="s">
        <v>260</v>
      </c>
      <c r="P17" s="1">
        <v>0.39</v>
      </c>
      <c r="Q17" s="1">
        <v>3.59</v>
      </c>
      <c r="R17" s="1" t="s">
        <v>387</v>
      </c>
      <c r="S17" s="1">
        <f t="shared" si="5"/>
        <v>10</v>
      </c>
      <c r="T17" s="1">
        <v>15</v>
      </c>
      <c r="U17" s="1" t="s">
        <v>388</v>
      </c>
    </row>
    <row r="18" spans="2:21">
      <c r="B18" s="1" t="str">
        <f t="shared" si="6"/>
        <v>ABT  Standard Extra Small</v>
      </c>
      <c r="C18" s="2">
        <f t="shared" si="7"/>
        <v>3</v>
      </c>
      <c r="D18" s="1" t="str">
        <f t="shared" si="8"/>
        <v>10-15</v>
      </c>
      <c r="E18" s="1" t="str">
        <f t="shared" si="9"/>
        <v>¥2,8 + ¥0,027/1 г</v>
      </c>
      <c r="F18" s="1" t="s">
        <v>270</v>
      </c>
      <c r="G18" s="1" t="str">
        <f t="shared" si="10"/>
        <v>Разрешено</v>
      </c>
      <c r="L18" s="1">
        <v>3</v>
      </c>
      <c r="M18" s="1" t="s">
        <v>389</v>
      </c>
      <c r="N18" s="1" t="s">
        <v>280</v>
      </c>
      <c r="O18" s="1" t="s">
        <v>260</v>
      </c>
      <c r="P18" s="1">
        <v>2.8</v>
      </c>
      <c r="Q18" s="1">
        <v>27</v>
      </c>
      <c r="R18" s="1" t="s">
        <v>384</v>
      </c>
      <c r="S18" s="1">
        <f t="shared" si="5"/>
        <v>10</v>
      </c>
      <c r="T18" s="1">
        <v>15</v>
      </c>
      <c r="U18" s="1" t="s">
        <v>277</v>
      </c>
    </row>
    <row r="19" spans="2:21">
      <c r="B19" s="1" t="str">
        <f t="shared" si="6"/>
        <v>OYX  Standard Extra Small</v>
      </c>
      <c r="C19" s="2">
        <f t="shared" si="7"/>
        <v>4</v>
      </c>
      <c r="D19" s="1" t="str">
        <f t="shared" si="8"/>
        <v>10-15</v>
      </c>
      <c r="E19" s="1" t="str">
        <f t="shared" si="9"/>
        <v>¥2,9 + ¥0,0268/1 г</v>
      </c>
      <c r="F19" s="1" t="s">
        <v>270</v>
      </c>
      <c r="G19" s="1" t="str">
        <f t="shared" si="10"/>
        <v>Разрешено</v>
      </c>
      <c r="L19" s="1">
        <v>4</v>
      </c>
      <c r="M19" s="1" t="s">
        <v>390</v>
      </c>
      <c r="N19" s="1" t="s">
        <v>280</v>
      </c>
      <c r="O19" s="1" t="s">
        <v>260</v>
      </c>
      <c r="P19" s="1">
        <v>2.9</v>
      </c>
      <c r="Q19" s="1">
        <v>26.8</v>
      </c>
      <c r="R19" s="1" t="s">
        <v>384</v>
      </c>
      <c r="S19" s="1">
        <f t="shared" si="5"/>
        <v>10</v>
      </c>
      <c r="T19" s="1">
        <v>15</v>
      </c>
      <c r="U19" s="1" t="s">
        <v>277</v>
      </c>
    </row>
    <row r="20" spans="2:21">
      <c r="B20" s="1" t="str">
        <f t="shared" si="6"/>
        <v>Xingyuan Standard Extra Small</v>
      </c>
      <c r="C20" s="2">
        <f t="shared" si="7"/>
        <v>5</v>
      </c>
      <c r="D20" s="1" t="str">
        <f t="shared" si="8"/>
        <v>10-15</v>
      </c>
      <c r="E20" s="1" t="str">
        <f t="shared" si="9"/>
        <v>¥2,9 + ¥0,027/1 г</v>
      </c>
      <c r="F20" s="1" t="s">
        <v>270</v>
      </c>
      <c r="G20" s="1" t="str">
        <f t="shared" si="10"/>
        <v>Разрешено</v>
      </c>
      <c r="L20" s="1">
        <v>5</v>
      </c>
      <c r="M20" s="1" t="s">
        <v>391</v>
      </c>
      <c r="N20" s="1" t="s">
        <v>280</v>
      </c>
      <c r="O20" s="1" t="s">
        <v>260</v>
      </c>
      <c r="P20" s="1">
        <v>2.9</v>
      </c>
      <c r="Q20" s="1">
        <v>27</v>
      </c>
      <c r="R20" s="1" t="s">
        <v>384</v>
      </c>
      <c r="S20" s="1">
        <f t="shared" si="5"/>
        <v>10</v>
      </c>
      <c r="T20" s="1">
        <v>15</v>
      </c>
      <c r="U20" s="1" t="s">
        <v>277</v>
      </c>
    </row>
    <row r="21" spans="2:21">
      <c r="B21" s="1" t="str">
        <f t="shared" si="6"/>
        <v>CEL Standard Extra Small</v>
      </c>
      <c r="C21" s="2">
        <f t="shared" si="7"/>
        <v>6</v>
      </c>
      <c r="D21" s="1" t="str">
        <f t="shared" si="8"/>
        <v>8-13</v>
      </c>
      <c r="E21" s="1" t="str">
        <f t="shared" si="9"/>
        <v>¥2,8 + ¥0,0295/1 г</v>
      </c>
      <c r="F21" s="1" t="s">
        <v>270</v>
      </c>
      <c r="G21" s="1" t="str">
        <f t="shared" si="10"/>
        <v>Разрешено</v>
      </c>
      <c r="L21" s="1">
        <v>6</v>
      </c>
      <c r="M21" s="1" t="s">
        <v>392</v>
      </c>
      <c r="N21" s="1" t="s">
        <v>280</v>
      </c>
      <c r="O21" s="1" t="s">
        <v>260</v>
      </c>
      <c r="P21" s="1">
        <v>2.8</v>
      </c>
      <c r="Q21" s="1">
        <v>29.5</v>
      </c>
      <c r="R21" s="1" t="s">
        <v>384</v>
      </c>
      <c r="S21" s="1">
        <f t="shared" si="5"/>
        <v>8</v>
      </c>
      <c r="T21" s="1">
        <v>13</v>
      </c>
      <c r="U21" s="1" t="s">
        <v>277</v>
      </c>
    </row>
    <row r="22" spans="2:21">
      <c r="B22" s="1" t="str">
        <f t="shared" si="6"/>
        <v>ATC Standard Extra Small</v>
      </c>
      <c r="C22" s="2">
        <f t="shared" si="7"/>
        <v>7</v>
      </c>
      <c r="D22" s="1" t="str">
        <f t="shared" si="8"/>
        <v>10-15</v>
      </c>
      <c r="E22" s="1" t="str">
        <f t="shared" si="9"/>
        <v>¥2,95 + ¥0,033/1 г</v>
      </c>
      <c r="F22" s="1" t="s">
        <v>270</v>
      </c>
      <c r="G22" s="1" t="str">
        <f t="shared" si="10"/>
        <v>Разрешено</v>
      </c>
      <c r="L22" s="1">
        <v>7</v>
      </c>
      <c r="M22" s="1" t="s">
        <v>399</v>
      </c>
      <c r="N22" s="1" t="s">
        <v>280</v>
      </c>
      <c r="O22" s="1" t="s">
        <v>260</v>
      </c>
      <c r="P22" s="1">
        <v>2.95</v>
      </c>
      <c r="Q22" s="1">
        <v>33</v>
      </c>
      <c r="R22" s="1" t="s">
        <v>384</v>
      </c>
      <c r="S22" s="1">
        <f t="shared" si="5"/>
        <v>10</v>
      </c>
      <c r="T22" s="1">
        <v>15</v>
      </c>
      <c r="U22" s="1" t="s">
        <v>388</v>
      </c>
    </row>
    <row r="23" spans="2:21">
      <c r="B23" s="1" t="str">
        <f t="shared" si="6"/>
        <v>ZTO Standard Extra Small</v>
      </c>
      <c r="C23" s="2">
        <f t="shared" si="7"/>
        <v>8</v>
      </c>
      <c r="D23" s="1" t="str">
        <f t="shared" si="8"/>
        <v>10-15</v>
      </c>
      <c r="E23" s="1" t="str">
        <f t="shared" si="9"/>
        <v>¥3 + ¥0,035/1 г</v>
      </c>
      <c r="F23" s="1" t="s">
        <v>270</v>
      </c>
      <c r="G23" s="1" t="str">
        <f t="shared" si="10"/>
        <v>Разрешено</v>
      </c>
      <c r="L23" s="1">
        <v>8</v>
      </c>
      <c r="M23" s="1" t="s">
        <v>393</v>
      </c>
      <c r="N23" s="1" t="s">
        <v>280</v>
      </c>
      <c r="O23" s="1" t="s">
        <v>260</v>
      </c>
      <c r="P23" s="1">
        <v>3</v>
      </c>
      <c r="Q23" s="1">
        <v>35</v>
      </c>
      <c r="R23" s="1" t="s">
        <v>384</v>
      </c>
      <c r="S23" s="1">
        <f t="shared" si="5"/>
        <v>10</v>
      </c>
      <c r="T23" s="1">
        <v>15</v>
      </c>
      <c r="U23" s="1" t="s">
        <v>277</v>
      </c>
    </row>
    <row r="24" spans="2:21">
      <c r="B24" s="1" t="str">
        <f t="shared" si="6"/>
        <v>Tanais Standard Extra Small</v>
      </c>
      <c r="C24" s="2">
        <f t="shared" si="7"/>
        <v>9</v>
      </c>
      <c r="D24" s="1" t="str">
        <f t="shared" si="8"/>
        <v>10-15</v>
      </c>
      <c r="E24" s="1" t="str">
        <f t="shared" si="9"/>
        <v>¥2,95 + ¥0,0349/1 г</v>
      </c>
      <c r="F24" s="1" t="s">
        <v>270</v>
      </c>
      <c r="G24" s="1" t="str">
        <f t="shared" si="10"/>
        <v>Разрешено</v>
      </c>
      <c r="L24" s="1">
        <v>9</v>
      </c>
      <c r="M24" s="1" t="s">
        <v>394</v>
      </c>
      <c r="N24" s="1" t="s">
        <v>280</v>
      </c>
      <c r="O24" s="1" t="s">
        <v>260</v>
      </c>
      <c r="P24" s="1">
        <v>2.95</v>
      </c>
      <c r="Q24" s="1">
        <v>34.9</v>
      </c>
      <c r="R24" s="1" t="s">
        <v>384</v>
      </c>
      <c r="S24" s="1">
        <f t="shared" si="5"/>
        <v>10</v>
      </c>
      <c r="T24" s="1">
        <v>15</v>
      </c>
      <c r="U24" s="1" t="s">
        <v>388</v>
      </c>
    </row>
    <row r="25" spans="2:21">
      <c r="B25" s="1" t="str">
        <f t="shared" si="6"/>
        <v>Ural Standard Extra Small</v>
      </c>
      <c r="C25" s="2">
        <f t="shared" si="7"/>
        <v>10</v>
      </c>
      <c r="D25" s="1" t="str">
        <f t="shared" si="8"/>
        <v>10-15</v>
      </c>
      <c r="E25" s="1" t="str">
        <f t="shared" si="9"/>
        <v>¥3 + ¥0,035/1 г</v>
      </c>
      <c r="F25" s="1" t="s">
        <v>270</v>
      </c>
      <c r="G25" s="1" t="str">
        <f t="shared" si="10"/>
        <v>Разрешено</v>
      </c>
      <c r="L25" s="1">
        <v>10</v>
      </c>
      <c r="M25" s="1" t="s">
        <v>396</v>
      </c>
      <c r="N25" s="1" t="s">
        <v>280</v>
      </c>
      <c r="O25" s="1" t="s">
        <v>260</v>
      </c>
      <c r="P25" s="1">
        <v>3</v>
      </c>
      <c r="Q25" s="1">
        <v>35</v>
      </c>
      <c r="R25" s="1" t="s">
        <v>384</v>
      </c>
      <c r="S25" s="1">
        <f t="shared" si="5"/>
        <v>10</v>
      </c>
      <c r="T25" s="1">
        <v>15</v>
      </c>
      <c r="U25" s="1" t="s">
        <v>277</v>
      </c>
    </row>
    <row r="26" spans="2:21">
      <c r="B26" s="1" t="str">
        <f t="shared" si="6"/>
        <v>IML Standard Extra Small</v>
      </c>
      <c r="C26" s="2">
        <f t="shared" si="7"/>
        <v>10</v>
      </c>
      <c r="D26" s="1" t="str">
        <f t="shared" si="8"/>
        <v>9-14</v>
      </c>
      <c r="E26" s="1" t="str">
        <f t="shared" si="9"/>
        <v>¥2,95 + ¥0,035/1 г</v>
      </c>
      <c r="F26" s="1" t="s">
        <v>270</v>
      </c>
      <c r="G26" s="1" t="str">
        <f t="shared" si="10"/>
        <v>Разрешено</v>
      </c>
      <c r="L26" s="1">
        <v>10</v>
      </c>
      <c r="M26" s="1" t="s">
        <v>395</v>
      </c>
      <c r="N26" s="1" t="s">
        <v>280</v>
      </c>
      <c r="O26" s="1" t="s">
        <v>260</v>
      </c>
      <c r="P26" s="1">
        <v>2.95</v>
      </c>
      <c r="Q26" s="1">
        <v>35</v>
      </c>
      <c r="R26" s="1" t="s">
        <v>384</v>
      </c>
      <c r="S26" s="1">
        <f t="shared" si="5"/>
        <v>9</v>
      </c>
      <c r="T26" s="1">
        <v>14</v>
      </c>
      <c r="U26" s="1" t="s">
        <v>277</v>
      </c>
    </row>
    <row r="27" spans="2:21">
      <c r="B27" s="1" t="str">
        <f t="shared" si="6"/>
        <v>GUOO Standard Extra Small</v>
      </c>
      <c r="C27" s="2">
        <f t="shared" si="7"/>
        <v>12</v>
      </c>
      <c r="D27" s="1" t="str">
        <f t="shared" si="8"/>
        <v>10-15</v>
      </c>
      <c r="E27" s="1" t="str">
        <f t="shared" si="9"/>
        <v>¥3 + ¥0,035/1 г</v>
      </c>
      <c r="F27" s="1" t="s">
        <v>270</v>
      </c>
      <c r="G27" s="1" t="str">
        <f t="shared" si="10"/>
        <v>Разрешено</v>
      </c>
      <c r="L27" s="1">
        <v>12</v>
      </c>
      <c r="M27" s="1" t="s">
        <v>397</v>
      </c>
      <c r="N27" s="1" t="s">
        <v>280</v>
      </c>
      <c r="O27" s="1" t="s">
        <v>260</v>
      </c>
      <c r="P27" s="1">
        <v>3</v>
      </c>
      <c r="Q27" s="1">
        <v>35</v>
      </c>
      <c r="R27" s="1" t="s">
        <v>384</v>
      </c>
      <c r="S27" s="1">
        <f t="shared" si="5"/>
        <v>10</v>
      </c>
      <c r="T27" s="1">
        <v>15</v>
      </c>
      <c r="U27" s="1" t="s">
        <v>277</v>
      </c>
    </row>
    <row r="28" spans="2:21">
      <c r="B28" s="1" t="str">
        <f t="shared" si="6"/>
        <v>TFS Standard Extra Small</v>
      </c>
      <c r="C28" s="2">
        <f t="shared" si="7"/>
        <v>13</v>
      </c>
      <c r="D28" s="1" t="str">
        <f t="shared" si="8"/>
        <v>10-15</v>
      </c>
      <c r="E28" s="1" t="str">
        <f t="shared" si="9"/>
        <v>¥3 + ¥0,035/1 г</v>
      </c>
      <c r="F28" s="1" t="s">
        <v>270</v>
      </c>
      <c r="G28" s="1" t="str">
        <f t="shared" si="10"/>
        <v>Разрешено</v>
      </c>
      <c r="L28" s="1">
        <v>13</v>
      </c>
      <c r="M28" s="1" t="s">
        <v>398</v>
      </c>
      <c r="N28" s="1" t="s">
        <v>280</v>
      </c>
      <c r="O28" s="1" t="s">
        <v>260</v>
      </c>
      <c r="P28" s="1">
        <v>3</v>
      </c>
      <c r="Q28" s="1">
        <v>35</v>
      </c>
      <c r="R28" s="1" t="s">
        <v>384</v>
      </c>
      <c r="S28" s="1">
        <f t="shared" si="5"/>
        <v>10</v>
      </c>
      <c r="T28" s="1">
        <v>15</v>
      </c>
      <c r="U28" s="1" t="s">
        <v>388</v>
      </c>
    </row>
    <row r="30" spans="2:21">
      <c r="B30" s="1" t="str">
        <f t="shared" ref="B30:B44" si="11">M30&amp;" "&amp;N30&amp;" "&amp;O30</f>
        <v>RETS Economy Extra Small</v>
      </c>
      <c r="C30" s="2">
        <f t="shared" ref="C30:C44" si="12">L30</f>
        <v>1</v>
      </c>
      <c r="D30" s="1" t="str">
        <f t="shared" ref="D30:D44" si="13">T30-5&amp;"-"&amp;T30</f>
        <v>13-18</v>
      </c>
      <c r="E30" s="1" t="str">
        <f t="shared" ref="E30:E44" si="14">IF(R30="CNY","¥"&amp;P30&amp;" + ¥"&amp;Q30/1000&amp;"/1 г",IF(R30="USD","$"&amp;P30&amp;" + $"&amp;Q30/1000&amp;"/1 г","Error"))</f>
        <v>¥2,85 + ¥0,022/1 г</v>
      </c>
      <c r="F30" s="1" t="s">
        <v>270</v>
      </c>
      <c r="G30" s="1" t="str">
        <f t="shared" ref="G30:G44" si="15">IF(OR(U30="Разрешено",U30="允许"),"Разрешено",IF(OR(U30="Запрещено",U30="禁止"),"Запрещено","Error"))</f>
        <v>Разрешено</v>
      </c>
      <c r="L30" s="1">
        <v>1</v>
      </c>
      <c r="M30" s="1" t="s">
        <v>383</v>
      </c>
      <c r="N30" s="1" t="s">
        <v>287</v>
      </c>
      <c r="O30" s="1" t="s">
        <v>260</v>
      </c>
      <c r="P30" s="1">
        <v>2.85</v>
      </c>
      <c r="Q30" s="1">
        <v>22</v>
      </c>
      <c r="R30" s="1" t="s">
        <v>384</v>
      </c>
      <c r="S30" s="1">
        <f t="shared" si="5"/>
        <v>13</v>
      </c>
      <c r="T30" s="1">
        <v>18</v>
      </c>
      <c r="U30" s="1" t="s">
        <v>388</v>
      </c>
    </row>
    <row r="31" spans="2:21">
      <c r="B31" s="1" t="str">
        <f t="shared" si="11"/>
        <v>Cainiao Economy Extra Small</v>
      </c>
      <c r="C31" s="2">
        <f t="shared" si="12"/>
        <v>2</v>
      </c>
      <c r="D31" s="1" t="str">
        <f t="shared" si="13"/>
        <v>14-19</v>
      </c>
      <c r="E31" s="1" t="str">
        <f t="shared" si="14"/>
        <v>¥2,95 + ¥0,023/1 г</v>
      </c>
      <c r="F31" s="1" t="s">
        <v>270</v>
      </c>
      <c r="G31" s="1" t="str">
        <f t="shared" si="15"/>
        <v>Разрешено</v>
      </c>
      <c r="L31" s="1">
        <v>2</v>
      </c>
      <c r="M31" s="1" t="s">
        <v>400</v>
      </c>
      <c r="N31" s="1" t="s">
        <v>287</v>
      </c>
      <c r="O31" s="1" t="s">
        <v>260</v>
      </c>
      <c r="P31" s="1">
        <v>2.95</v>
      </c>
      <c r="Q31" s="1">
        <v>23</v>
      </c>
      <c r="R31" s="1" t="s">
        <v>384</v>
      </c>
      <c r="S31" s="1">
        <f t="shared" si="5"/>
        <v>14</v>
      </c>
      <c r="T31" s="1">
        <v>19</v>
      </c>
      <c r="U31" s="1" t="s">
        <v>277</v>
      </c>
    </row>
    <row r="32" spans="2:21">
      <c r="B32" s="1" t="str">
        <f t="shared" si="11"/>
        <v>CEL Economy Extra Small</v>
      </c>
      <c r="C32" s="2">
        <f t="shared" si="12"/>
        <v>3</v>
      </c>
      <c r="D32" s="1" t="str">
        <f t="shared" si="13"/>
        <v>16-21</v>
      </c>
      <c r="E32" s="1" t="str">
        <f t="shared" si="14"/>
        <v>¥2,8 + ¥0,023/1 г</v>
      </c>
      <c r="F32" s="1" t="s">
        <v>270</v>
      </c>
      <c r="G32" s="1" t="str">
        <f t="shared" si="15"/>
        <v>Разрешено</v>
      </c>
      <c r="L32" s="1">
        <v>3</v>
      </c>
      <c r="M32" s="1" t="s">
        <v>392</v>
      </c>
      <c r="N32" s="1" t="s">
        <v>287</v>
      </c>
      <c r="O32" s="1" t="s">
        <v>260</v>
      </c>
      <c r="P32" s="1">
        <v>2.8</v>
      </c>
      <c r="Q32" s="1">
        <v>23</v>
      </c>
      <c r="R32" s="1" t="s">
        <v>384</v>
      </c>
      <c r="S32" s="1">
        <f t="shared" si="5"/>
        <v>16</v>
      </c>
      <c r="T32" s="1">
        <v>21</v>
      </c>
      <c r="U32" s="1" t="s">
        <v>277</v>
      </c>
    </row>
    <row r="33" spans="2:21">
      <c r="B33" s="1" t="str">
        <f t="shared" si="11"/>
        <v>ABT  Economy Extra Small</v>
      </c>
      <c r="C33" s="2">
        <f t="shared" si="12"/>
        <v>4</v>
      </c>
      <c r="D33" s="1" t="str">
        <f t="shared" si="13"/>
        <v>20-25</v>
      </c>
      <c r="E33" s="1" t="str">
        <f t="shared" si="14"/>
        <v>¥2,8 + ¥0,025/1 г</v>
      </c>
      <c r="F33" s="1" t="s">
        <v>270</v>
      </c>
      <c r="G33" s="1" t="str">
        <f t="shared" si="15"/>
        <v>Разрешено</v>
      </c>
      <c r="L33" s="1">
        <v>4</v>
      </c>
      <c r="M33" s="1" t="s">
        <v>389</v>
      </c>
      <c r="N33" s="1" t="s">
        <v>287</v>
      </c>
      <c r="O33" s="1" t="s">
        <v>260</v>
      </c>
      <c r="P33" s="1">
        <v>2.8</v>
      </c>
      <c r="Q33" s="1">
        <v>25</v>
      </c>
      <c r="R33" s="1" t="s">
        <v>384</v>
      </c>
      <c r="S33" s="1">
        <f t="shared" si="5"/>
        <v>20</v>
      </c>
      <c r="T33" s="1">
        <v>25</v>
      </c>
      <c r="U33" s="1" t="s">
        <v>277</v>
      </c>
    </row>
    <row r="34" spans="2:21">
      <c r="B34" s="1" t="str">
        <f t="shared" si="11"/>
        <v>OYX  Economy Extra Small</v>
      </c>
      <c r="C34" s="2">
        <f t="shared" si="12"/>
        <v>4</v>
      </c>
      <c r="D34" s="1" t="str">
        <f t="shared" si="13"/>
        <v>15-20</v>
      </c>
      <c r="E34" s="1" t="str">
        <f t="shared" si="14"/>
        <v>¥2,9 + ¥0,0248/1 г</v>
      </c>
      <c r="F34" s="1" t="s">
        <v>270</v>
      </c>
      <c r="G34" s="1" t="str">
        <f t="shared" si="15"/>
        <v>Разрешено</v>
      </c>
      <c r="L34" s="1">
        <v>4</v>
      </c>
      <c r="M34" s="1" t="s">
        <v>390</v>
      </c>
      <c r="N34" s="1" t="s">
        <v>287</v>
      </c>
      <c r="O34" s="1" t="s">
        <v>260</v>
      </c>
      <c r="P34" s="1">
        <v>2.9</v>
      </c>
      <c r="Q34" s="1">
        <v>24.8</v>
      </c>
      <c r="R34" s="1" t="s">
        <v>384</v>
      </c>
      <c r="S34" s="1">
        <f t="shared" si="5"/>
        <v>15</v>
      </c>
      <c r="T34" s="1">
        <v>20</v>
      </c>
      <c r="U34" s="1" t="s">
        <v>277</v>
      </c>
    </row>
    <row r="35" spans="2:21">
      <c r="B35" s="1" t="str">
        <f t="shared" si="11"/>
        <v>ATC Economy Extra Small</v>
      </c>
      <c r="C35" s="2">
        <f t="shared" si="12"/>
        <v>6</v>
      </c>
      <c r="D35" s="1" t="str">
        <f t="shared" si="13"/>
        <v>20-25</v>
      </c>
      <c r="E35" s="1" t="str">
        <f t="shared" si="14"/>
        <v>¥2,95 + ¥0,024/1 г</v>
      </c>
      <c r="F35" s="1" t="s">
        <v>270</v>
      </c>
      <c r="G35" s="1" t="str">
        <f t="shared" si="15"/>
        <v>Разрешено</v>
      </c>
      <c r="L35" s="1">
        <v>6</v>
      </c>
      <c r="M35" s="1" t="s">
        <v>399</v>
      </c>
      <c r="N35" s="1" t="s">
        <v>287</v>
      </c>
      <c r="O35" s="1" t="s">
        <v>260</v>
      </c>
      <c r="P35" s="1">
        <v>2.95</v>
      </c>
      <c r="Q35" s="1">
        <v>24</v>
      </c>
      <c r="R35" s="1" t="s">
        <v>384</v>
      </c>
      <c r="S35" s="1">
        <f t="shared" si="5"/>
        <v>20</v>
      </c>
      <c r="T35" s="1">
        <v>25</v>
      </c>
      <c r="U35" s="1" t="s">
        <v>388</v>
      </c>
    </row>
    <row r="36" spans="2:21">
      <c r="B36" s="1" t="str">
        <f t="shared" si="11"/>
        <v>Xingyuan Economy Extra Small</v>
      </c>
      <c r="C36" s="2">
        <f t="shared" si="12"/>
        <v>7</v>
      </c>
      <c r="D36" s="1" t="str">
        <f t="shared" si="13"/>
        <v>15-20</v>
      </c>
      <c r="E36" s="1" t="str">
        <f t="shared" si="14"/>
        <v>¥2,9 + ¥0,025/1 г</v>
      </c>
      <c r="F36" s="1" t="s">
        <v>270</v>
      </c>
      <c r="G36" s="1" t="str">
        <f t="shared" si="15"/>
        <v>Разрешено</v>
      </c>
      <c r="L36" s="1">
        <v>7</v>
      </c>
      <c r="M36" s="1" t="s">
        <v>391</v>
      </c>
      <c r="N36" s="1" t="s">
        <v>287</v>
      </c>
      <c r="O36" s="1" t="s">
        <v>260</v>
      </c>
      <c r="P36" s="1">
        <v>2.9</v>
      </c>
      <c r="Q36" s="1">
        <v>25</v>
      </c>
      <c r="R36" s="1" t="s">
        <v>384</v>
      </c>
      <c r="S36" s="1">
        <f t="shared" si="5"/>
        <v>15</v>
      </c>
      <c r="T36" s="1">
        <v>20</v>
      </c>
      <c r="U36" s="1" t="s">
        <v>277</v>
      </c>
    </row>
    <row r="37" spans="2:21">
      <c r="B37" s="1" t="str">
        <f t="shared" si="11"/>
        <v>Leader Economy Extra Small</v>
      </c>
      <c r="C37" s="2">
        <f t="shared" si="12"/>
        <v>8</v>
      </c>
      <c r="D37" s="1" t="str">
        <f t="shared" si="13"/>
        <v>20-25</v>
      </c>
      <c r="E37" s="1" t="str">
        <f t="shared" si="14"/>
        <v>¥3 + ¥0,0245/1 г</v>
      </c>
      <c r="F37" s="1" t="s">
        <v>270</v>
      </c>
      <c r="G37" s="1" t="str">
        <f t="shared" si="15"/>
        <v>Разрешено</v>
      </c>
      <c r="L37" s="1">
        <v>8</v>
      </c>
      <c r="M37" s="1" t="s">
        <v>401</v>
      </c>
      <c r="N37" s="1" t="s">
        <v>287</v>
      </c>
      <c r="O37" s="1" t="s">
        <v>260</v>
      </c>
      <c r="P37" s="1">
        <v>3</v>
      </c>
      <c r="Q37" s="1">
        <v>24.5</v>
      </c>
      <c r="R37" s="1" t="s">
        <v>384</v>
      </c>
      <c r="S37" s="1">
        <f t="shared" si="5"/>
        <v>20</v>
      </c>
      <c r="T37" s="1">
        <v>25</v>
      </c>
      <c r="U37" s="1" t="s">
        <v>277</v>
      </c>
    </row>
    <row r="38" spans="2:21">
      <c r="B38" s="1" t="str">
        <f t="shared" si="11"/>
        <v>ZTO Economy Extra Small</v>
      </c>
      <c r="C38" s="2">
        <f t="shared" si="12"/>
        <v>9</v>
      </c>
      <c r="D38" s="1" t="str">
        <f t="shared" si="13"/>
        <v>20-25</v>
      </c>
      <c r="E38" s="1" t="str">
        <f t="shared" si="14"/>
        <v>¥3 + ¥0,025/1 г</v>
      </c>
      <c r="F38" s="1" t="s">
        <v>270</v>
      </c>
      <c r="G38" s="1" t="str">
        <f t="shared" si="15"/>
        <v>Разрешено</v>
      </c>
      <c r="L38" s="1">
        <v>9</v>
      </c>
      <c r="M38" s="1" t="s">
        <v>393</v>
      </c>
      <c r="N38" s="1" t="s">
        <v>287</v>
      </c>
      <c r="O38" s="1" t="s">
        <v>260</v>
      </c>
      <c r="P38" s="1">
        <v>3</v>
      </c>
      <c r="Q38" s="1">
        <v>25</v>
      </c>
      <c r="R38" s="1" t="s">
        <v>384</v>
      </c>
      <c r="S38" s="1">
        <f t="shared" si="5"/>
        <v>20</v>
      </c>
      <c r="T38" s="1">
        <v>25</v>
      </c>
      <c r="U38" s="1" t="s">
        <v>277</v>
      </c>
    </row>
    <row r="39" spans="2:21">
      <c r="B39" s="1" t="str">
        <f t="shared" si="11"/>
        <v>Ural Economy Extra Small</v>
      </c>
      <c r="C39" s="2">
        <f t="shared" si="12"/>
        <v>10</v>
      </c>
      <c r="D39" s="1" t="str">
        <f t="shared" si="13"/>
        <v>15-20</v>
      </c>
      <c r="E39" s="1" t="str">
        <f t="shared" si="14"/>
        <v>¥3 + ¥0,025/1 г</v>
      </c>
      <c r="F39" s="1" t="s">
        <v>270</v>
      </c>
      <c r="G39" s="1" t="str">
        <f t="shared" si="15"/>
        <v>Разрешено</v>
      </c>
      <c r="L39" s="1">
        <v>10</v>
      </c>
      <c r="M39" s="1" t="s">
        <v>396</v>
      </c>
      <c r="N39" s="1" t="s">
        <v>287</v>
      </c>
      <c r="O39" s="1" t="s">
        <v>260</v>
      </c>
      <c r="P39" s="1">
        <v>3</v>
      </c>
      <c r="Q39" s="1">
        <v>25</v>
      </c>
      <c r="R39" s="1" t="s">
        <v>384</v>
      </c>
      <c r="S39" s="1">
        <f t="shared" si="5"/>
        <v>15</v>
      </c>
      <c r="T39" s="1">
        <v>20</v>
      </c>
      <c r="U39" s="1" t="s">
        <v>277</v>
      </c>
    </row>
    <row r="40" spans="2:21">
      <c r="B40" s="1" t="str">
        <f t="shared" si="11"/>
        <v>Tanais Economy Extra Small</v>
      </c>
      <c r="C40" s="2">
        <f t="shared" si="12"/>
        <v>11</v>
      </c>
      <c r="D40" s="1" t="str">
        <f t="shared" si="13"/>
        <v>17-22</v>
      </c>
      <c r="E40" s="1" t="str">
        <f t="shared" si="14"/>
        <v>¥2,95 + ¥0,0249/1 г</v>
      </c>
      <c r="F40" s="1" t="s">
        <v>270</v>
      </c>
      <c r="G40" s="1" t="str">
        <f t="shared" si="15"/>
        <v>Разрешено</v>
      </c>
      <c r="L40" s="1">
        <v>11</v>
      </c>
      <c r="M40" s="1" t="s">
        <v>394</v>
      </c>
      <c r="N40" s="1" t="s">
        <v>287</v>
      </c>
      <c r="O40" s="1" t="s">
        <v>260</v>
      </c>
      <c r="P40" s="1">
        <v>2.95</v>
      </c>
      <c r="Q40" s="1">
        <v>24.9</v>
      </c>
      <c r="R40" s="1" t="s">
        <v>384</v>
      </c>
      <c r="S40" s="1">
        <f t="shared" si="5"/>
        <v>17</v>
      </c>
      <c r="T40" s="1">
        <v>22</v>
      </c>
      <c r="U40" s="1" t="s">
        <v>388</v>
      </c>
    </row>
    <row r="41" spans="2:21">
      <c r="B41" s="1" t="str">
        <f t="shared" si="11"/>
        <v>GUOO Economy Extra Small</v>
      </c>
      <c r="C41" s="2">
        <f t="shared" si="12"/>
        <v>12</v>
      </c>
      <c r="D41" s="1" t="str">
        <f t="shared" si="13"/>
        <v>15-20</v>
      </c>
      <c r="E41" s="1" t="str">
        <f t="shared" si="14"/>
        <v>¥3 + ¥0,025/1 г</v>
      </c>
      <c r="F41" s="1" t="s">
        <v>270</v>
      </c>
      <c r="G41" s="1" t="str">
        <f t="shared" si="15"/>
        <v>Разрешено</v>
      </c>
      <c r="L41" s="1">
        <v>12</v>
      </c>
      <c r="M41" s="1" t="s">
        <v>397</v>
      </c>
      <c r="N41" s="1" t="s">
        <v>287</v>
      </c>
      <c r="O41" s="1" t="s">
        <v>260</v>
      </c>
      <c r="P41" s="1">
        <v>3</v>
      </c>
      <c r="Q41" s="1">
        <v>25</v>
      </c>
      <c r="R41" s="1" t="s">
        <v>384</v>
      </c>
      <c r="S41" s="1">
        <f t="shared" si="5"/>
        <v>15</v>
      </c>
      <c r="T41" s="1">
        <v>20</v>
      </c>
      <c r="U41" s="1" t="s">
        <v>277</v>
      </c>
    </row>
    <row r="42" spans="2:21">
      <c r="B42" s="1" t="str">
        <f t="shared" si="11"/>
        <v>IML Economy Extra Small</v>
      </c>
      <c r="C42" s="2">
        <f t="shared" si="12"/>
        <v>12</v>
      </c>
      <c r="D42" s="1" t="str">
        <f t="shared" si="13"/>
        <v>19-24</v>
      </c>
      <c r="E42" s="1" t="str">
        <f t="shared" si="14"/>
        <v>¥2,95 + ¥0,025/1 г</v>
      </c>
      <c r="F42" s="1" t="s">
        <v>270</v>
      </c>
      <c r="G42" s="1" t="str">
        <f t="shared" si="15"/>
        <v>Разрешено</v>
      </c>
      <c r="L42" s="1">
        <v>12</v>
      </c>
      <c r="M42" s="1" t="s">
        <v>395</v>
      </c>
      <c r="N42" s="1" t="s">
        <v>287</v>
      </c>
      <c r="O42" s="1" t="s">
        <v>260</v>
      </c>
      <c r="P42" s="1">
        <v>2.95</v>
      </c>
      <c r="Q42" s="1">
        <v>25</v>
      </c>
      <c r="R42" s="1" t="s">
        <v>384</v>
      </c>
      <c r="S42" s="1">
        <f t="shared" si="5"/>
        <v>19</v>
      </c>
      <c r="T42" s="1">
        <v>24</v>
      </c>
      <c r="U42" s="1" t="s">
        <v>277</v>
      </c>
    </row>
    <row r="43" spans="2:21">
      <c r="B43" s="1" t="str">
        <f t="shared" si="11"/>
        <v>UNI Economy Extra Small</v>
      </c>
      <c r="C43" s="2">
        <f t="shared" si="12"/>
        <v>12</v>
      </c>
      <c r="D43" s="1" t="str">
        <f t="shared" si="13"/>
        <v>20-25</v>
      </c>
      <c r="E43" s="1" t="str">
        <f t="shared" si="14"/>
        <v>$0,42 + $0,00347/1 г</v>
      </c>
      <c r="F43" s="1" t="s">
        <v>270</v>
      </c>
      <c r="G43" s="1" t="str">
        <f t="shared" si="15"/>
        <v>Разрешено</v>
      </c>
      <c r="L43" s="1">
        <v>12</v>
      </c>
      <c r="M43" s="1" t="s">
        <v>386</v>
      </c>
      <c r="N43" s="1" t="s">
        <v>287</v>
      </c>
      <c r="O43" s="1" t="s">
        <v>260</v>
      </c>
      <c r="P43" s="1">
        <v>0.42</v>
      </c>
      <c r="Q43" s="1">
        <v>3.47</v>
      </c>
      <c r="R43" s="1" t="s">
        <v>387</v>
      </c>
      <c r="S43" s="1">
        <f t="shared" si="5"/>
        <v>20</v>
      </c>
      <c r="T43" s="1">
        <v>25</v>
      </c>
      <c r="U43" s="1" t="s">
        <v>388</v>
      </c>
    </row>
    <row r="44" spans="2:21">
      <c r="B44" s="1" t="str">
        <f t="shared" si="11"/>
        <v>TFS Economy Extra Small</v>
      </c>
      <c r="C44" s="2">
        <f t="shared" si="12"/>
        <v>15</v>
      </c>
      <c r="D44" s="1" t="str">
        <f t="shared" si="13"/>
        <v>20-25</v>
      </c>
      <c r="E44" s="1" t="str">
        <f t="shared" si="14"/>
        <v>¥3 + ¥0,025/1 г</v>
      </c>
      <c r="F44" s="1" t="s">
        <v>270</v>
      </c>
      <c r="G44" s="1" t="str">
        <f t="shared" si="15"/>
        <v>Разрешено</v>
      </c>
      <c r="L44" s="1">
        <v>15</v>
      </c>
      <c r="M44" s="1" t="s">
        <v>398</v>
      </c>
      <c r="N44" s="1" t="s">
        <v>287</v>
      </c>
      <c r="O44" s="1" t="s">
        <v>260</v>
      </c>
      <c r="P44" s="1">
        <v>3</v>
      </c>
      <c r="Q44" s="1">
        <v>25</v>
      </c>
      <c r="R44" s="1" t="s">
        <v>384</v>
      </c>
      <c r="S44" s="1">
        <f t="shared" si="5"/>
        <v>20</v>
      </c>
      <c r="T44" s="1">
        <v>25</v>
      </c>
      <c r="U44" s="1" t="s">
        <v>388</v>
      </c>
    </row>
    <row r="46" spans="2:21">
      <c r="B46" s="1" t="str">
        <f t="shared" ref="B46:B52" si="16">M46&amp;" "&amp;N46&amp;" "&amp;O46</f>
        <v>UNI Express Budget</v>
      </c>
      <c r="C46" s="2">
        <f t="shared" ref="C46:C52" si="17">L46</f>
        <v>1</v>
      </c>
      <c r="D46" s="1" t="str">
        <f t="shared" ref="D46:D52" si="18">T46-5&amp;"-"&amp;T46</f>
        <v>5-10</v>
      </c>
      <c r="E46" s="1" t="str">
        <f t="shared" ref="E46:E52" si="19">IF(R46="CNY","¥"&amp;P46&amp;" + ¥"&amp;Q46/1000&amp;"/1 г",IF(R46="USD","$"&amp;P46&amp;" + $"&amp;Q46/1000&amp;"/1 г","Error"))</f>
        <v>$2,42 + $0,00443/1 г</v>
      </c>
      <c r="F46" s="1" t="s">
        <v>270</v>
      </c>
      <c r="G46" s="1" t="str">
        <f t="shared" ref="G46:G52" si="20">IF(OR(U46="Разрешено",U46="允许"),"Разрешено",IF(OR(U46="Запрещено",U46="禁止"),"Запрещено","Error"))</f>
        <v>Разрешено</v>
      </c>
      <c r="L46" s="1">
        <v>1</v>
      </c>
      <c r="M46" s="1" t="s">
        <v>386</v>
      </c>
      <c r="N46" s="1" t="s">
        <v>261</v>
      </c>
      <c r="O46" s="1" t="s">
        <v>294</v>
      </c>
      <c r="P46" s="1">
        <v>2.42</v>
      </c>
      <c r="Q46" s="1">
        <v>4.43</v>
      </c>
      <c r="R46" s="1" t="s">
        <v>387</v>
      </c>
      <c r="S46" s="1">
        <f t="shared" si="5"/>
        <v>5</v>
      </c>
      <c r="T46" s="1">
        <v>10</v>
      </c>
      <c r="U46" s="1" t="s">
        <v>388</v>
      </c>
    </row>
    <row r="47" spans="2:21">
      <c r="B47" s="1" t="str">
        <f t="shared" si="16"/>
        <v>RETS Express Budget</v>
      </c>
      <c r="C47" s="2">
        <f t="shared" si="17"/>
        <v>2</v>
      </c>
      <c r="D47" s="1" t="str">
        <f t="shared" si="18"/>
        <v>3-8</v>
      </c>
      <c r="E47" s="1" t="str">
        <f t="shared" si="19"/>
        <v>¥22,5 + ¥0,032/1 г</v>
      </c>
      <c r="F47" s="1" t="s">
        <v>270</v>
      </c>
      <c r="G47" s="1" t="str">
        <f t="shared" si="20"/>
        <v>Запрещено</v>
      </c>
      <c r="L47" s="1">
        <v>2</v>
      </c>
      <c r="M47" s="1" t="s">
        <v>383</v>
      </c>
      <c r="N47" s="1" t="s">
        <v>261</v>
      </c>
      <c r="O47" s="1" t="s">
        <v>294</v>
      </c>
      <c r="P47" s="1">
        <v>22.5</v>
      </c>
      <c r="Q47" s="1">
        <v>32</v>
      </c>
      <c r="R47" s="1" t="s">
        <v>384</v>
      </c>
      <c r="S47" s="1">
        <f t="shared" si="5"/>
        <v>3</v>
      </c>
      <c r="T47" s="1">
        <v>8</v>
      </c>
      <c r="U47" s="1" t="s">
        <v>385</v>
      </c>
    </row>
    <row r="48" spans="2:21">
      <c r="B48" s="1" t="str">
        <f t="shared" si="16"/>
        <v>CEL Express Budget</v>
      </c>
      <c r="C48" s="2">
        <f t="shared" si="17"/>
        <v>3</v>
      </c>
      <c r="D48" s="1" t="str">
        <f t="shared" si="18"/>
        <v>5-10</v>
      </c>
      <c r="E48" s="1" t="str">
        <f t="shared" si="19"/>
        <v>¥18 + ¥0,03295/1 г</v>
      </c>
      <c r="F48" s="1" t="s">
        <v>270</v>
      </c>
      <c r="G48" s="1" t="str">
        <f t="shared" si="20"/>
        <v>Запрещено</v>
      </c>
      <c r="L48" s="1">
        <v>3</v>
      </c>
      <c r="M48" s="1" t="s">
        <v>392</v>
      </c>
      <c r="N48" s="1" t="s">
        <v>261</v>
      </c>
      <c r="O48" s="1" t="s">
        <v>294</v>
      </c>
      <c r="P48" s="1">
        <v>18</v>
      </c>
      <c r="Q48" s="1">
        <v>32.95</v>
      </c>
      <c r="R48" s="1" t="s">
        <v>384</v>
      </c>
      <c r="S48" s="1">
        <f t="shared" si="5"/>
        <v>5</v>
      </c>
      <c r="T48" s="1">
        <v>10</v>
      </c>
      <c r="U48" s="1" t="s">
        <v>264</v>
      </c>
    </row>
    <row r="49" spans="2:21">
      <c r="B49" s="1" t="str">
        <f t="shared" si="16"/>
        <v>GBS Express Budget</v>
      </c>
      <c r="C49" s="2">
        <f t="shared" si="17"/>
        <v>4</v>
      </c>
      <c r="D49" s="1" t="str">
        <f t="shared" si="18"/>
        <v>5-10</v>
      </c>
      <c r="E49" s="1" t="str">
        <f t="shared" si="19"/>
        <v>¥21,85 + ¥0,033/1 г</v>
      </c>
      <c r="F49" s="1" t="s">
        <v>270</v>
      </c>
      <c r="G49" s="1" t="str">
        <f t="shared" si="20"/>
        <v>Запрещено</v>
      </c>
      <c r="L49" s="1">
        <v>4</v>
      </c>
      <c r="M49" s="1" t="s">
        <v>402</v>
      </c>
      <c r="N49" s="1" t="s">
        <v>261</v>
      </c>
      <c r="O49" s="1" t="s">
        <v>294</v>
      </c>
      <c r="P49" s="1">
        <v>21.85</v>
      </c>
      <c r="Q49" s="1">
        <v>33</v>
      </c>
      <c r="R49" s="1" t="s">
        <v>384</v>
      </c>
      <c r="S49" s="1">
        <f t="shared" si="5"/>
        <v>5</v>
      </c>
      <c r="T49" s="1">
        <v>10</v>
      </c>
      <c r="U49" s="1" t="s">
        <v>385</v>
      </c>
    </row>
    <row r="50" spans="2:21">
      <c r="B50" s="1" t="str">
        <f t="shared" si="16"/>
        <v>ZTO Express Budget</v>
      </c>
      <c r="C50" s="2">
        <f t="shared" si="17"/>
        <v>5</v>
      </c>
      <c r="D50" s="1" t="str">
        <f t="shared" si="18"/>
        <v>5-10</v>
      </c>
      <c r="E50" s="1" t="str">
        <f t="shared" si="19"/>
        <v>¥23 + ¥0,033/1 г</v>
      </c>
      <c r="F50" s="1" t="s">
        <v>270</v>
      </c>
      <c r="G50" s="1" t="str">
        <f t="shared" si="20"/>
        <v>Запрещено</v>
      </c>
      <c r="L50" s="1">
        <v>5</v>
      </c>
      <c r="M50" s="1" t="s">
        <v>393</v>
      </c>
      <c r="N50" s="1" t="s">
        <v>261</v>
      </c>
      <c r="O50" s="1" t="s">
        <v>294</v>
      </c>
      <c r="P50" s="1">
        <v>23</v>
      </c>
      <c r="Q50" s="1">
        <v>33</v>
      </c>
      <c r="R50" s="1" t="s">
        <v>384</v>
      </c>
      <c r="S50" s="1">
        <f t="shared" si="5"/>
        <v>5</v>
      </c>
      <c r="T50" s="1">
        <v>10</v>
      </c>
      <c r="U50" s="1" t="s">
        <v>264</v>
      </c>
    </row>
    <row r="51" spans="2:21">
      <c r="B51" s="1" t="str">
        <f t="shared" si="16"/>
        <v>IML Express Budget</v>
      </c>
      <c r="C51" s="2">
        <f t="shared" si="17"/>
        <v>5</v>
      </c>
      <c r="D51" s="1" t="str">
        <f t="shared" si="18"/>
        <v>3-8</v>
      </c>
      <c r="E51" s="1" t="str">
        <f t="shared" si="19"/>
        <v>¥22,95 + ¥0,033/1 г</v>
      </c>
      <c r="F51" s="1" t="s">
        <v>270</v>
      </c>
      <c r="G51" s="1" t="str">
        <f t="shared" si="20"/>
        <v>Разрешено</v>
      </c>
      <c r="L51" s="1">
        <v>5</v>
      </c>
      <c r="M51" s="1" t="s">
        <v>395</v>
      </c>
      <c r="N51" s="1" t="s">
        <v>261</v>
      </c>
      <c r="O51" s="1" t="s">
        <v>294</v>
      </c>
      <c r="P51" s="1">
        <v>22.95</v>
      </c>
      <c r="Q51" s="1">
        <v>33</v>
      </c>
      <c r="R51" s="1" t="s">
        <v>384</v>
      </c>
      <c r="S51" s="1">
        <f t="shared" si="5"/>
        <v>3</v>
      </c>
      <c r="T51" s="1">
        <v>8</v>
      </c>
      <c r="U51" s="1" t="s">
        <v>277</v>
      </c>
    </row>
    <row r="52" spans="2:21">
      <c r="B52" s="1" t="str">
        <f t="shared" si="16"/>
        <v>Ural Express Budget</v>
      </c>
      <c r="C52" s="2">
        <f t="shared" si="17"/>
        <v>7</v>
      </c>
      <c r="D52" s="1" t="str">
        <f t="shared" si="18"/>
        <v>5-10</v>
      </c>
      <c r="E52" s="1" t="str">
        <f t="shared" si="19"/>
        <v>¥23 + ¥0,033/1 г</v>
      </c>
      <c r="F52" s="1" t="s">
        <v>270</v>
      </c>
      <c r="G52" s="1" t="str">
        <f t="shared" si="20"/>
        <v>Запрещено</v>
      </c>
      <c r="L52" s="1">
        <v>7</v>
      </c>
      <c r="M52" s="1" t="s">
        <v>396</v>
      </c>
      <c r="N52" s="1" t="s">
        <v>261</v>
      </c>
      <c r="O52" s="1" t="s">
        <v>294</v>
      </c>
      <c r="P52" s="1">
        <v>23</v>
      </c>
      <c r="Q52" s="1">
        <v>33</v>
      </c>
      <c r="R52" s="1" t="s">
        <v>384</v>
      </c>
      <c r="S52" s="1">
        <f t="shared" si="5"/>
        <v>5</v>
      </c>
      <c r="T52" s="1">
        <v>10</v>
      </c>
      <c r="U52" s="1" t="s">
        <v>264</v>
      </c>
    </row>
    <row r="54" spans="2:21">
      <c r="B54" s="1" t="str">
        <f t="shared" ref="B54:B66" si="21">M54&amp;" "&amp;N54&amp;" "&amp;O54</f>
        <v>UNI Standard Budget</v>
      </c>
      <c r="C54" s="2">
        <f t="shared" ref="C54:C66" si="22">L54</f>
        <v>1</v>
      </c>
      <c r="D54" s="1" t="str">
        <f t="shared" ref="D54:D66" si="23">T54-5&amp;"-"&amp;T54</f>
        <v>10-15</v>
      </c>
      <c r="E54" s="1" t="str">
        <f t="shared" ref="E54:E66" si="24">IF(R54="CNY","¥"&amp;P54&amp;" + ¥"&amp;Q54/1000&amp;"/1 г",IF(R54="USD","$"&amp;P54&amp;" + $"&amp;Q54/1000&amp;"/1 г","Error"))</f>
        <v>$2,28 + $0,00335/1 г</v>
      </c>
      <c r="F54" s="1" t="s">
        <v>270</v>
      </c>
      <c r="G54" s="1" t="str">
        <f t="shared" ref="G54:G66" si="25">IF(OR(U54="Разрешено",U54="允许"),"Разрешено",IF(OR(U54="Запрещено",U54="禁止"),"Запрещено","Error"))</f>
        <v>Разрешено</v>
      </c>
      <c r="L54" s="1">
        <v>1</v>
      </c>
      <c r="M54" s="1" t="s">
        <v>386</v>
      </c>
      <c r="N54" s="1" t="s">
        <v>280</v>
      </c>
      <c r="O54" s="1" t="s">
        <v>294</v>
      </c>
      <c r="P54" s="1">
        <v>2.28</v>
      </c>
      <c r="Q54" s="1">
        <v>3.35</v>
      </c>
      <c r="R54" s="1" t="s">
        <v>387</v>
      </c>
      <c r="S54" s="1">
        <f t="shared" si="5"/>
        <v>10</v>
      </c>
      <c r="T54" s="1">
        <v>15</v>
      </c>
      <c r="U54" s="1" t="s">
        <v>388</v>
      </c>
    </row>
    <row r="55" spans="2:21">
      <c r="B55" s="1" t="str">
        <f t="shared" si="21"/>
        <v>ABT  Standard Budget</v>
      </c>
      <c r="C55" s="2">
        <f t="shared" si="22"/>
        <v>2</v>
      </c>
      <c r="D55" s="1" t="str">
        <f t="shared" si="23"/>
        <v>10-15</v>
      </c>
      <c r="E55" s="1" t="str">
        <f t="shared" si="24"/>
        <v>¥16 + ¥0,025/1 г</v>
      </c>
      <c r="F55" s="1" t="s">
        <v>270</v>
      </c>
      <c r="G55" s="1" t="str">
        <f t="shared" si="25"/>
        <v>Разрешено</v>
      </c>
      <c r="L55" s="1">
        <v>2</v>
      </c>
      <c r="M55" s="1" t="s">
        <v>389</v>
      </c>
      <c r="N55" s="1" t="s">
        <v>280</v>
      </c>
      <c r="O55" s="1" t="s">
        <v>294</v>
      </c>
      <c r="P55" s="1">
        <v>16</v>
      </c>
      <c r="Q55" s="1">
        <v>25</v>
      </c>
      <c r="R55" s="1" t="s">
        <v>384</v>
      </c>
      <c r="S55" s="1">
        <f t="shared" si="5"/>
        <v>10</v>
      </c>
      <c r="T55" s="1">
        <v>15</v>
      </c>
      <c r="U55" s="1" t="s">
        <v>277</v>
      </c>
    </row>
    <row r="56" spans="2:21">
      <c r="B56" s="1" t="str">
        <f t="shared" si="21"/>
        <v>OYX  Standard Budget</v>
      </c>
      <c r="C56" s="2">
        <f t="shared" si="22"/>
        <v>3</v>
      </c>
      <c r="D56" s="1" t="str">
        <f t="shared" si="23"/>
        <v>10-15</v>
      </c>
      <c r="E56" s="1" t="str">
        <f t="shared" si="24"/>
        <v>¥17 + ¥0,0248/1 г</v>
      </c>
      <c r="F56" s="1" t="s">
        <v>270</v>
      </c>
      <c r="G56" s="1" t="str">
        <f t="shared" si="25"/>
        <v>Разрешено</v>
      </c>
      <c r="L56" s="1">
        <v>3</v>
      </c>
      <c r="M56" s="1" t="s">
        <v>390</v>
      </c>
      <c r="N56" s="1" t="s">
        <v>280</v>
      </c>
      <c r="O56" s="1" t="s">
        <v>294</v>
      </c>
      <c r="P56" s="1">
        <v>17</v>
      </c>
      <c r="Q56" s="1">
        <v>24.8</v>
      </c>
      <c r="R56" s="1" t="s">
        <v>384</v>
      </c>
      <c r="S56" s="1">
        <f t="shared" si="5"/>
        <v>10</v>
      </c>
      <c r="T56" s="1">
        <v>15</v>
      </c>
      <c r="U56" s="1" t="s">
        <v>277</v>
      </c>
    </row>
    <row r="57" spans="2:21">
      <c r="B57" s="1" t="str">
        <f t="shared" si="21"/>
        <v>Xingyuan Standard Budget</v>
      </c>
      <c r="C57" s="2">
        <f t="shared" si="22"/>
        <v>4</v>
      </c>
      <c r="D57" s="1" t="str">
        <f t="shared" si="23"/>
        <v>10-15</v>
      </c>
      <c r="E57" s="1" t="str">
        <f t="shared" si="24"/>
        <v>¥17 + ¥0,025/1 г</v>
      </c>
      <c r="F57" s="1" t="s">
        <v>270</v>
      </c>
      <c r="G57" s="1" t="str">
        <f t="shared" si="25"/>
        <v>Разрешено</v>
      </c>
      <c r="L57" s="1">
        <v>4</v>
      </c>
      <c r="M57" s="1" t="s">
        <v>391</v>
      </c>
      <c r="N57" s="1" t="s">
        <v>280</v>
      </c>
      <c r="O57" s="1" t="s">
        <v>294</v>
      </c>
      <c r="P57" s="1">
        <v>17</v>
      </c>
      <c r="Q57" s="1">
        <v>25</v>
      </c>
      <c r="R57" s="1" t="s">
        <v>384</v>
      </c>
      <c r="S57" s="1">
        <f t="shared" si="5"/>
        <v>10</v>
      </c>
      <c r="T57" s="1">
        <v>15</v>
      </c>
      <c r="U57" s="1" t="s">
        <v>277</v>
      </c>
    </row>
    <row r="58" spans="2:21">
      <c r="B58" s="1" t="str">
        <f t="shared" si="21"/>
        <v>RETS Standard Budget</v>
      </c>
      <c r="C58" s="2">
        <f t="shared" si="22"/>
        <v>5</v>
      </c>
      <c r="D58" s="1" t="str">
        <f t="shared" si="23"/>
        <v>7-12</v>
      </c>
      <c r="E58" s="1" t="str">
        <f t="shared" si="24"/>
        <v>¥22,5 + ¥0,024/1 г</v>
      </c>
      <c r="F58" s="1" t="s">
        <v>270</v>
      </c>
      <c r="G58" s="1" t="str">
        <f t="shared" si="25"/>
        <v>Разрешено</v>
      </c>
      <c r="L58" s="1">
        <v>5</v>
      </c>
      <c r="M58" s="1" t="s">
        <v>383</v>
      </c>
      <c r="N58" s="1" t="s">
        <v>280</v>
      </c>
      <c r="O58" s="1" t="s">
        <v>294</v>
      </c>
      <c r="P58" s="1">
        <v>22.5</v>
      </c>
      <c r="Q58" s="1">
        <v>24</v>
      </c>
      <c r="R58" s="1" t="s">
        <v>384</v>
      </c>
      <c r="S58" s="1">
        <f t="shared" si="5"/>
        <v>7</v>
      </c>
      <c r="T58" s="1">
        <v>12</v>
      </c>
      <c r="U58" s="1" t="s">
        <v>388</v>
      </c>
    </row>
    <row r="59" spans="2:21">
      <c r="B59" s="1" t="str">
        <f t="shared" si="21"/>
        <v>CEL Standard Budget</v>
      </c>
      <c r="C59" s="2">
        <f t="shared" si="22"/>
        <v>6</v>
      </c>
      <c r="D59" s="1" t="str">
        <f t="shared" si="23"/>
        <v>8-13</v>
      </c>
      <c r="E59" s="1" t="str">
        <f t="shared" si="24"/>
        <v>¥18 + ¥0,02495/1 г</v>
      </c>
      <c r="F59" s="1" t="s">
        <v>270</v>
      </c>
      <c r="G59" s="1" t="str">
        <f t="shared" si="25"/>
        <v>Разрешено</v>
      </c>
      <c r="L59" s="1">
        <v>6</v>
      </c>
      <c r="M59" s="1" t="s">
        <v>392</v>
      </c>
      <c r="N59" s="1" t="s">
        <v>280</v>
      </c>
      <c r="O59" s="1" t="s">
        <v>294</v>
      </c>
      <c r="P59" s="1">
        <v>18</v>
      </c>
      <c r="Q59" s="1">
        <v>24.95</v>
      </c>
      <c r="R59" s="1" t="s">
        <v>384</v>
      </c>
      <c r="S59" s="1">
        <f t="shared" si="5"/>
        <v>8</v>
      </c>
      <c r="T59" s="1">
        <v>13</v>
      </c>
      <c r="U59" s="1" t="s">
        <v>277</v>
      </c>
    </row>
    <row r="60" spans="2:21">
      <c r="B60" s="1" t="str">
        <f t="shared" si="21"/>
        <v>GBS Standard Budget</v>
      </c>
      <c r="C60" s="2">
        <f t="shared" si="22"/>
        <v>7</v>
      </c>
      <c r="D60" s="1" t="str">
        <f t="shared" si="23"/>
        <v>9-14</v>
      </c>
      <c r="E60" s="1" t="str">
        <f t="shared" si="24"/>
        <v>¥21,85 + ¥0,025/1 г</v>
      </c>
      <c r="F60" s="1" t="s">
        <v>270</v>
      </c>
      <c r="G60" s="1" t="str">
        <f t="shared" si="25"/>
        <v>Разрешено</v>
      </c>
      <c r="L60" s="1">
        <v>7</v>
      </c>
      <c r="M60" s="1" t="s">
        <v>402</v>
      </c>
      <c r="N60" s="1" t="s">
        <v>280</v>
      </c>
      <c r="O60" s="1" t="s">
        <v>294</v>
      </c>
      <c r="P60" s="1">
        <v>21.85</v>
      </c>
      <c r="Q60" s="1">
        <v>25</v>
      </c>
      <c r="R60" s="1" t="s">
        <v>384</v>
      </c>
      <c r="S60" s="1">
        <f t="shared" si="5"/>
        <v>9</v>
      </c>
      <c r="T60" s="1">
        <v>14</v>
      </c>
      <c r="U60" s="1" t="s">
        <v>388</v>
      </c>
    </row>
    <row r="61" spans="2:21">
      <c r="B61" s="1" t="str">
        <f t="shared" si="21"/>
        <v>ATC Standard Budget</v>
      </c>
      <c r="C61" s="2">
        <f t="shared" si="22"/>
        <v>8</v>
      </c>
      <c r="D61" s="1" t="str">
        <f t="shared" si="23"/>
        <v>10-15</v>
      </c>
      <c r="E61" s="1" t="str">
        <f t="shared" si="24"/>
        <v>¥22 + ¥0,025/1 г</v>
      </c>
      <c r="F61" s="1" t="s">
        <v>270</v>
      </c>
      <c r="G61" s="1" t="str">
        <f t="shared" si="25"/>
        <v>Разрешено</v>
      </c>
      <c r="L61" s="1">
        <v>8</v>
      </c>
      <c r="M61" s="1" t="s">
        <v>399</v>
      </c>
      <c r="N61" s="1" t="s">
        <v>280</v>
      </c>
      <c r="O61" s="1" t="s">
        <v>294</v>
      </c>
      <c r="P61" s="1">
        <v>22</v>
      </c>
      <c r="Q61" s="1">
        <v>25</v>
      </c>
      <c r="R61" s="1" t="s">
        <v>384</v>
      </c>
      <c r="S61" s="1">
        <f t="shared" si="5"/>
        <v>10</v>
      </c>
      <c r="T61" s="1">
        <v>15</v>
      </c>
      <c r="U61" s="1" t="s">
        <v>388</v>
      </c>
    </row>
    <row r="62" spans="2:21">
      <c r="B62" s="1" t="str">
        <f t="shared" si="21"/>
        <v>ZTO Standard Budget</v>
      </c>
      <c r="C62" s="2">
        <f t="shared" si="22"/>
        <v>9</v>
      </c>
      <c r="D62" s="1" t="str">
        <f t="shared" si="23"/>
        <v>10-15</v>
      </c>
      <c r="E62" s="1" t="str">
        <f t="shared" si="24"/>
        <v>¥23 + ¥0,025/1 г</v>
      </c>
      <c r="F62" s="1" t="s">
        <v>270</v>
      </c>
      <c r="G62" s="1" t="str">
        <f t="shared" si="25"/>
        <v>Разрешено</v>
      </c>
      <c r="L62" s="1">
        <v>9</v>
      </c>
      <c r="M62" s="1" t="s">
        <v>393</v>
      </c>
      <c r="N62" s="1" t="s">
        <v>280</v>
      </c>
      <c r="O62" s="1" t="s">
        <v>294</v>
      </c>
      <c r="P62" s="1">
        <v>23</v>
      </c>
      <c r="Q62" s="1">
        <v>25</v>
      </c>
      <c r="R62" s="1" t="s">
        <v>384</v>
      </c>
      <c r="S62" s="1">
        <f t="shared" si="5"/>
        <v>10</v>
      </c>
      <c r="T62" s="1">
        <v>15</v>
      </c>
      <c r="U62" s="1" t="s">
        <v>277</v>
      </c>
    </row>
    <row r="63" spans="2:21">
      <c r="B63" s="1" t="str">
        <f t="shared" si="21"/>
        <v>ETS Standard Budget</v>
      </c>
      <c r="C63" s="2">
        <f t="shared" si="22"/>
        <v>9</v>
      </c>
      <c r="D63" s="1" t="str">
        <f t="shared" si="23"/>
        <v>10-15</v>
      </c>
      <c r="E63" s="1" t="str">
        <f t="shared" si="24"/>
        <v>$3,19 + $0,00347/1 г</v>
      </c>
      <c r="F63" s="1" t="s">
        <v>270</v>
      </c>
      <c r="G63" s="1" t="str">
        <f t="shared" si="25"/>
        <v>Разрешено</v>
      </c>
      <c r="L63" s="1">
        <v>9</v>
      </c>
      <c r="M63" s="1" t="s">
        <v>403</v>
      </c>
      <c r="N63" s="1" t="s">
        <v>280</v>
      </c>
      <c r="O63" s="1" t="s">
        <v>294</v>
      </c>
      <c r="P63" s="1">
        <v>3.19</v>
      </c>
      <c r="Q63" s="1">
        <v>3.47</v>
      </c>
      <c r="R63" s="1" t="s">
        <v>387</v>
      </c>
      <c r="S63" s="1">
        <f t="shared" si="5"/>
        <v>10</v>
      </c>
      <c r="T63" s="1">
        <v>15</v>
      </c>
      <c r="U63" s="1" t="s">
        <v>388</v>
      </c>
    </row>
    <row r="64" spans="2:21">
      <c r="B64" s="1" t="str">
        <f t="shared" si="21"/>
        <v>Tanais Standard Budget</v>
      </c>
      <c r="C64" s="2">
        <f t="shared" si="22"/>
        <v>11</v>
      </c>
      <c r="D64" s="1" t="str">
        <f t="shared" si="23"/>
        <v>10-15</v>
      </c>
      <c r="E64" s="1" t="str">
        <f t="shared" si="24"/>
        <v>¥22,8 + ¥0,0249/1 г</v>
      </c>
      <c r="F64" s="1" t="s">
        <v>270</v>
      </c>
      <c r="G64" s="1" t="str">
        <f t="shared" si="25"/>
        <v>Разрешено</v>
      </c>
      <c r="L64" s="1">
        <v>11</v>
      </c>
      <c r="M64" s="1" t="s">
        <v>394</v>
      </c>
      <c r="N64" s="1" t="s">
        <v>280</v>
      </c>
      <c r="O64" s="1" t="s">
        <v>294</v>
      </c>
      <c r="P64" s="1">
        <v>22.8</v>
      </c>
      <c r="Q64" s="1">
        <v>24.9</v>
      </c>
      <c r="R64" s="1" t="s">
        <v>384</v>
      </c>
      <c r="S64" s="1">
        <f t="shared" si="5"/>
        <v>10</v>
      </c>
      <c r="T64" s="1">
        <v>15</v>
      </c>
      <c r="U64" s="1" t="s">
        <v>388</v>
      </c>
    </row>
    <row r="65" spans="2:21">
      <c r="B65" s="1" t="str">
        <f t="shared" si="21"/>
        <v>Ural Standard Budget</v>
      </c>
      <c r="C65" s="2">
        <f t="shared" si="22"/>
        <v>12</v>
      </c>
      <c r="D65" s="1" t="str">
        <f t="shared" si="23"/>
        <v>10-15</v>
      </c>
      <c r="E65" s="1" t="str">
        <f t="shared" si="24"/>
        <v>¥23 + ¥0,025/1 г</v>
      </c>
      <c r="F65" s="1" t="s">
        <v>270</v>
      </c>
      <c r="G65" s="1" t="str">
        <f t="shared" si="25"/>
        <v>Разрешено</v>
      </c>
      <c r="L65" s="1">
        <v>12</v>
      </c>
      <c r="M65" s="1" t="s">
        <v>396</v>
      </c>
      <c r="N65" s="1" t="s">
        <v>280</v>
      </c>
      <c r="O65" s="1" t="s">
        <v>294</v>
      </c>
      <c r="P65" s="1">
        <v>23</v>
      </c>
      <c r="Q65" s="1">
        <v>25</v>
      </c>
      <c r="R65" s="1" t="s">
        <v>384</v>
      </c>
      <c r="S65" s="1">
        <f t="shared" si="5"/>
        <v>10</v>
      </c>
      <c r="T65" s="1">
        <v>15</v>
      </c>
      <c r="U65" s="1" t="s">
        <v>277</v>
      </c>
    </row>
    <row r="66" spans="2:21">
      <c r="B66" s="1" t="str">
        <f t="shared" si="21"/>
        <v>IML Standard Budget</v>
      </c>
      <c r="C66" s="2">
        <f t="shared" si="22"/>
        <v>13</v>
      </c>
      <c r="D66" s="1" t="str">
        <f t="shared" si="23"/>
        <v>9-14</v>
      </c>
      <c r="E66" s="1" t="str">
        <f t="shared" si="24"/>
        <v>¥22,95 + ¥0,025/1 г</v>
      </c>
      <c r="F66" s="1" t="s">
        <v>270</v>
      </c>
      <c r="G66" s="1" t="str">
        <f t="shared" si="25"/>
        <v>Разрешено</v>
      </c>
      <c r="L66" s="1">
        <v>13</v>
      </c>
      <c r="M66" s="1" t="s">
        <v>395</v>
      </c>
      <c r="N66" s="1" t="s">
        <v>280</v>
      </c>
      <c r="O66" s="1" t="s">
        <v>294</v>
      </c>
      <c r="P66" s="1">
        <v>22.95</v>
      </c>
      <c r="Q66" s="1">
        <v>25</v>
      </c>
      <c r="R66" s="1" t="s">
        <v>384</v>
      </c>
      <c r="S66" s="1">
        <f t="shared" si="5"/>
        <v>9</v>
      </c>
      <c r="T66" s="1">
        <v>14</v>
      </c>
      <c r="U66" s="1" t="s">
        <v>277</v>
      </c>
    </row>
    <row r="68" spans="2:21">
      <c r="B68" s="1" t="str">
        <f t="shared" ref="B68:B77" si="26">M68&amp;" "&amp;N68&amp;" "&amp;O68</f>
        <v>UNI Economy Budget</v>
      </c>
      <c r="C68" s="2">
        <f t="shared" ref="C68:C77" si="27">L68</f>
        <v>1</v>
      </c>
      <c r="D68" s="1" t="str">
        <f t="shared" ref="D68:D77" si="28">T68-5&amp;"-"&amp;T68</f>
        <v>20-25</v>
      </c>
      <c r="E68" s="1" t="str">
        <f t="shared" ref="E68:E77" si="29">IF(R68="CNY","¥"&amp;P68&amp;" + ¥"&amp;Q68/1000&amp;"/1 г",IF(R68="USD","$"&amp;P68&amp;" + $"&amp;Q68/1000&amp;"/1 г","Error"))</f>
        <v>$3,01 + $0,00222/1 г</v>
      </c>
      <c r="F68" s="1" t="s">
        <v>270</v>
      </c>
      <c r="G68" s="1" t="str">
        <f t="shared" ref="G68:G77" si="30">IF(OR(U68="Разрешено",U68="允许"),"Разрешено",IF(OR(U68="Запрещено",U68="禁止"),"Запрещено","Error"))</f>
        <v>Разрешено</v>
      </c>
      <c r="L68" s="1">
        <v>1</v>
      </c>
      <c r="M68" s="1" t="s">
        <v>386</v>
      </c>
      <c r="N68" s="1" t="s">
        <v>287</v>
      </c>
      <c r="O68" s="1" t="s">
        <v>294</v>
      </c>
      <c r="P68" s="1">
        <v>3.01</v>
      </c>
      <c r="Q68" s="1">
        <v>2.22</v>
      </c>
      <c r="R68" s="1" t="s">
        <v>387</v>
      </c>
      <c r="S68" s="1">
        <f t="shared" ref="S68:S131" si="31">T68-5</f>
        <v>20</v>
      </c>
      <c r="T68" s="1">
        <v>25</v>
      </c>
      <c r="U68" s="1" t="s">
        <v>388</v>
      </c>
    </row>
    <row r="69" spans="2:21">
      <c r="B69" s="1" t="str">
        <f t="shared" si="26"/>
        <v>RETS Economy Budget</v>
      </c>
      <c r="C69" s="2">
        <f t="shared" si="27"/>
        <v>2</v>
      </c>
      <c r="D69" s="1" t="str">
        <f t="shared" si="28"/>
        <v>13-18</v>
      </c>
      <c r="E69" s="1" t="str">
        <f t="shared" si="29"/>
        <v>¥22,5 + ¥0,0165/1 г</v>
      </c>
      <c r="F69" s="1" t="s">
        <v>270</v>
      </c>
      <c r="G69" s="1" t="str">
        <f t="shared" si="30"/>
        <v>Разрешено</v>
      </c>
      <c r="L69" s="1">
        <v>2</v>
      </c>
      <c r="M69" s="1" t="s">
        <v>383</v>
      </c>
      <c r="N69" s="1" t="s">
        <v>287</v>
      </c>
      <c r="O69" s="1" t="s">
        <v>294</v>
      </c>
      <c r="P69" s="1">
        <v>22.5</v>
      </c>
      <c r="Q69" s="1">
        <v>16.5</v>
      </c>
      <c r="R69" s="1" t="s">
        <v>384</v>
      </c>
      <c r="S69" s="1">
        <f t="shared" si="31"/>
        <v>13</v>
      </c>
      <c r="T69" s="1">
        <v>18</v>
      </c>
      <c r="U69" s="1" t="s">
        <v>388</v>
      </c>
    </row>
    <row r="70" spans="2:21">
      <c r="B70" s="1" t="str">
        <f t="shared" si="26"/>
        <v>GBS Economy Budget</v>
      </c>
      <c r="C70" s="2">
        <f t="shared" si="27"/>
        <v>3</v>
      </c>
      <c r="D70" s="1" t="str">
        <f t="shared" si="28"/>
        <v>15-20</v>
      </c>
      <c r="E70" s="1" t="str">
        <f t="shared" si="29"/>
        <v>¥22,4 + ¥0,017/1 г</v>
      </c>
      <c r="F70" s="1" t="s">
        <v>270</v>
      </c>
      <c r="G70" s="1" t="str">
        <f t="shared" si="30"/>
        <v>Разрешено</v>
      </c>
      <c r="L70" s="1">
        <v>3</v>
      </c>
      <c r="M70" s="1" t="s">
        <v>402</v>
      </c>
      <c r="N70" s="1" t="s">
        <v>287</v>
      </c>
      <c r="O70" s="1" t="s">
        <v>294</v>
      </c>
      <c r="P70" s="1">
        <v>22.4</v>
      </c>
      <c r="Q70" s="1">
        <v>17</v>
      </c>
      <c r="R70" s="1" t="s">
        <v>384</v>
      </c>
      <c r="S70" s="1">
        <f t="shared" si="31"/>
        <v>15</v>
      </c>
      <c r="T70" s="1">
        <v>20</v>
      </c>
      <c r="U70" s="1" t="s">
        <v>388</v>
      </c>
    </row>
    <row r="71" spans="2:21">
      <c r="B71" s="1" t="str">
        <f t="shared" si="26"/>
        <v>ATC Economy Budget</v>
      </c>
      <c r="C71" s="2">
        <f t="shared" si="27"/>
        <v>4</v>
      </c>
      <c r="D71" s="1" t="str">
        <f t="shared" si="28"/>
        <v>20-25</v>
      </c>
      <c r="E71" s="1" t="str">
        <f t="shared" si="29"/>
        <v>¥22,7 + ¥0,0168/1 г</v>
      </c>
      <c r="F71" s="1" t="s">
        <v>270</v>
      </c>
      <c r="G71" s="1" t="str">
        <f t="shared" si="30"/>
        <v>Разрешено</v>
      </c>
      <c r="L71" s="1">
        <v>4</v>
      </c>
      <c r="M71" s="1" t="s">
        <v>399</v>
      </c>
      <c r="N71" s="1" t="s">
        <v>287</v>
      </c>
      <c r="O71" s="1" t="s">
        <v>294</v>
      </c>
      <c r="P71" s="1">
        <v>22.7</v>
      </c>
      <c r="Q71" s="1">
        <v>16.8</v>
      </c>
      <c r="R71" s="1" t="s">
        <v>384</v>
      </c>
      <c r="S71" s="1">
        <f t="shared" si="31"/>
        <v>20</v>
      </c>
      <c r="T71" s="1">
        <v>25</v>
      </c>
      <c r="U71" s="1" t="s">
        <v>388</v>
      </c>
    </row>
    <row r="72" spans="2:21">
      <c r="B72" s="1" t="str">
        <f t="shared" si="26"/>
        <v>CEL Economy Budget</v>
      </c>
      <c r="C72" s="2">
        <f t="shared" si="27"/>
        <v>5</v>
      </c>
      <c r="D72" s="1" t="str">
        <f t="shared" si="28"/>
        <v>16-21</v>
      </c>
      <c r="E72" s="1" t="str">
        <f t="shared" si="29"/>
        <v>¥23 + ¥0,0165/1 г</v>
      </c>
      <c r="F72" s="1" t="s">
        <v>270</v>
      </c>
      <c r="G72" s="1" t="str">
        <f t="shared" si="30"/>
        <v>Разрешено</v>
      </c>
      <c r="L72" s="1">
        <v>5</v>
      </c>
      <c r="M72" s="1" t="s">
        <v>392</v>
      </c>
      <c r="N72" s="1" t="s">
        <v>287</v>
      </c>
      <c r="O72" s="1" t="s">
        <v>294</v>
      </c>
      <c r="P72" s="1">
        <v>23</v>
      </c>
      <c r="Q72" s="1">
        <v>16.5</v>
      </c>
      <c r="R72" s="1" t="s">
        <v>384</v>
      </c>
      <c r="S72" s="1">
        <f t="shared" si="31"/>
        <v>16</v>
      </c>
      <c r="T72" s="1">
        <v>21</v>
      </c>
      <c r="U72" s="1" t="s">
        <v>277</v>
      </c>
    </row>
    <row r="73" spans="2:21">
      <c r="B73" s="1" t="str">
        <f t="shared" si="26"/>
        <v>ZTO Economy Budget</v>
      </c>
      <c r="C73" s="2">
        <f t="shared" si="27"/>
        <v>6</v>
      </c>
      <c r="D73" s="1" t="str">
        <f t="shared" si="28"/>
        <v>20-25</v>
      </c>
      <c r="E73" s="1" t="str">
        <f t="shared" si="29"/>
        <v>¥23 + ¥0,017/1 г</v>
      </c>
      <c r="F73" s="1" t="s">
        <v>270</v>
      </c>
      <c r="G73" s="1" t="str">
        <f t="shared" si="30"/>
        <v>Разрешено</v>
      </c>
      <c r="L73" s="1">
        <v>6</v>
      </c>
      <c r="M73" s="1" t="s">
        <v>393</v>
      </c>
      <c r="N73" s="1" t="s">
        <v>287</v>
      </c>
      <c r="O73" s="1" t="s">
        <v>294</v>
      </c>
      <c r="P73" s="1">
        <v>23</v>
      </c>
      <c r="Q73" s="1">
        <v>17</v>
      </c>
      <c r="R73" s="1" t="s">
        <v>384</v>
      </c>
      <c r="S73" s="1">
        <f t="shared" si="31"/>
        <v>20</v>
      </c>
      <c r="T73" s="1">
        <v>25</v>
      </c>
      <c r="U73" s="1" t="s">
        <v>388</v>
      </c>
    </row>
    <row r="74" spans="2:21">
      <c r="B74" s="1" t="str">
        <f t="shared" si="26"/>
        <v>Tanais Economy Budget</v>
      </c>
      <c r="C74" s="2">
        <f t="shared" si="27"/>
        <v>7</v>
      </c>
      <c r="D74" s="1" t="str">
        <f t="shared" si="28"/>
        <v>17-22</v>
      </c>
      <c r="E74" s="1" t="str">
        <f t="shared" si="29"/>
        <v>¥22,8 + ¥0,0169/1 г</v>
      </c>
      <c r="F74" s="1" t="s">
        <v>270</v>
      </c>
      <c r="G74" s="1" t="str">
        <f t="shared" si="30"/>
        <v>Разрешено</v>
      </c>
      <c r="L74" s="1">
        <v>7</v>
      </c>
      <c r="M74" s="1" t="s">
        <v>394</v>
      </c>
      <c r="N74" s="1" t="s">
        <v>287</v>
      </c>
      <c r="O74" s="1" t="s">
        <v>294</v>
      </c>
      <c r="P74" s="1">
        <v>22.8</v>
      </c>
      <c r="Q74" s="1">
        <v>16.9</v>
      </c>
      <c r="R74" s="1" t="s">
        <v>384</v>
      </c>
      <c r="S74" s="1">
        <f t="shared" si="31"/>
        <v>17</v>
      </c>
      <c r="T74" s="1">
        <v>22</v>
      </c>
      <c r="U74" s="1" t="s">
        <v>388</v>
      </c>
    </row>
    <row r="75" spans="2:21">
      <c r="B75" s="1" t="str">
        <f t="shared" si="26"/>
        <v>IML Economy Budget</v>
      </c>
      <c r="C75" s="2">
        <f t="shared" si="27"/>
        <v>8</v>
      </c>
      <c r="D75" s="1" t="str">
        <f t="shared" si="28"/>
        <v>19-24</v>
      </c>
      <c r="E75" s="1" t="str">
        <f t="shared" si="29"/>
        <v>¥22,95 + ¥0,017/1 г</v>
      </c>
      <c r="F75" s="1" t="s">
        <v>270</v>
      </c>
      <c r="G75" s="1" t="str">
        <f t="shared" si="30"/>
        <v>Разрешено</v>
      </c>
      <c r="L75" s="1">
        <v>8</v>
      </c>
      <c r="M75" s="1" t="s">
        <v>395</v>
      </c>
      <c r="N75" s="1" t="s">
        <v>287</v>
      </c>
      <c r="O75" s="1" t="s">
        <v>294</v>
      </c>
      <c r="P75" s="1">
        <v>22.95</v>
      </c>
      <c r="Q75" s="1">
        <v>17</v>
      </c>
      <c r="R75" s="1" t="s">
        <v>384</v>
      </c>
      <c r="S75" s="1">
        <f t="shared" si="31"/>
        <v>19</v>
      </c>
      <c r="T75" s="1">
        <v>24</v>
      </c>
      <c r="U75" s="1" t="s">
        <v>277</v>
      </c>
    </row>
    <row r="76" spans="2:21">
      <c r="B76" s="1" t="str">
        <f t="shared" si="26"/>
        <v>GUOO Economy Budget</v>
      </c>
      <c r="C76" s="2">
        <f t="shared" si="27"/>
        <v>9</v>
      </c>
      <c r="D76" s="1" t="str">
        <f t="shared" si="28"/>
        <v>20-25</v>
      </c>
      <c r="E76" s="1" t="str">
        <f t="shared" si="29"/>
        <v>¥23 + ¥0,017/1 г</v>
      </c>
      <c r="F76" s="1" t="s">
        <v>270</v>
      </c>
      <c r="G76" s="1" t="str">
        <f t="shared" si="30"/>
        <v>Разрешено</v>
      </c>
      <c r="L76" s="1">
        <v>9</v>
      </c>
      <c r="M76" s="1" t="s">
        <v>397</v>
      </c>
      <c r="N76" s="1" t="s">
        <v>287</v>
      </c>
      <c r="O76" s="1" t="s">
        <v>294</v>
      </c>
      <c r="P76" s="1">
        <v>23</v>
      </c>
      <c r="Q76" s="1">
        <v>17</v>
      </c>
      <c r="R76" s="1" t="s">
        <v>384</v>
      </c>
      <c r="S76" s="1">
        <f t="shared" si="31"/>
        <v>20</v>
      </c>
      <c r="T76" s="1">
        <v>25</v>
      </c>
      <c r="U76" s="1" t="s">
        <v>277</v>
      </c>
    </row>
    <row r="77" spans="2:21">
      <c r="B77" s="1" t="str">
        <f t="shared" si="26"/>
        <v>TFS Economy Budget</v>
      </c>
      <c r="C77" s="2">
        <f t="shared" si="27"/>
        <v>10</v>
      </c>
      <c r="D77" s="1" t="str">
        <f t="shared" si="28"/>
        <v>10-15</v>
      </c>
      <c r="E77" s="1" t="str">
        <f t="shared" si="29"/>
        <v>¥23 + ¥0,017/1 г</v>
      </c>
      <c r="F77" s="1" t="s">
        <v>270</v>
      </c>
      <c r="G77" s="1" t="str">
        <f t="shared" si="30"/>
        <v>Разрешено</v>
      </c>
      <c r="L77" s="1">
        <v>10</v>
      </c>
      <c r="M77" s="1" t="s">
        <v>398</v>
      </c>
      <c r="N77" s="1" t="s">
        <v>287</v>
      </c>
      <c r="O77" s="1" t="s">
        <v>294</v>
      </c>
      <c r="P77" s="1">
        <v>23</v>
      </c>
      <c r="Q77" s="1">
        <v>17</v>
      </c>
      <c r="R77" s="1" t="s">
        <v>384</v>
      </c>
      <c r="S77" s="1">
        <f t="shared" si="31"/>
        <v>10</v>
      </c>
      <c r="T77" s="1">
        <v>15</v>
      </c>
      <c r="U77" s="1" t="s">
        <v>388</v>
      </c>
    </row>
    <row r="79" spans="2:21">
      <c r="B79" s="1" t="str">
        <f t="shared" ref="B79:B89" si="32">M79&amp;" "&amp;N79&amp;" "&amp;O79</f>
        <v>RETS Express Small</v>
      </c>
      <c r="C79" s="2">
        <f t="shared" ref="C79:C89" si="33">L79</f>
        <v>1</v>
      </c>
      <c r="D79" s="1" t="str">
        <f t="shared" ref="D79:D89" si="34">T79-5&amp;"-"&amp;T79</f>
        <v>3-8</v>
      </c>
      <c r="E79" s="1" t="str">
        <f t="shared" ref="E79:E89" si="35">IF(R79="CNY","¥"&amp;P79&amp;" + ¥"&amp;Q79/1000&amp;"/1 г",IF(R79="USD","$"&amp;P79&amp;" + $"&amp;Q79/1000&amp;"/1 г","Error"))</f>
        <v>¥15 + ¥0,042/1 г</v>
      </c>
      <c r="F79" s="1" t="str">
        <f t="shared" ref="F79:F89" si="36">IF(R79="CNY","¥"&amp;P79+3.5&amp;" + ¥"&amp;Q79/1000&amp;"/1 г",IF(R79="USD","$"&amp;P79+0.49&amp;" + $"&amp;Q79/1000&amp;"/1 г","Error"))</f>
        <v>¥18,5 + ¥0,042/1 г</v>
      </c>
      <c r="G79" s="1" t="str">
        <f t="shared" ref="G79:G89" si="37">IF(OR(U79="Разрешено",U79="允许"),"Разрешено",IF(OR(U79="Запрещено",U79="禁止"),"Запрещено","Error"))</f>
        <v>Запрещено</v>
      </c>
      <c r="L79" s="1">
        <v>1</v>
      </c>
      <c r="M79" s="1" t="s">
        <v>383</v>
      </c>
      <c r="N79" s="1" t="s">
        <v>261</v>
      </c>
      <c r="O79" s="1" t="s">
        <v>309</v>
      </c>
      <c r="P79" s="1">
        <v>15</v>
      </c>
      <c r="Q79" s="1">
        <v>42</v>
      </c>
      <c r="R79" s="1" t="s">
        <v>384</v>
      </c>
      <c r="S79" s="1">
        <f t="shared" si="31"/>
        <v>3</v>
      </c>
      <c r="T79" s="1">
        <v>8</v>
      </c>
      <c r="U79" s="1" t="s">
        <v>385</v>
      </c>
    </row>
    <row r="80" spans="2:21">
      <c r="B80" s="1" t="str">
        <f t="shared" si="32"/>
        <v>UNI Express Small</v>
      </c>
      <c r="C80" s="2">
        <f t="shared" si="33"/>
        <v>2</v>
      </c>
      <c r="D80" s="1" t="str">
        <f t="shared" si="34"/>
        <v>5-10</v>
      </c>
      <c r="E80" s="1" t="str">
        <f t="shared" si="35"/>
        <v>$2,15 + $0,0055/1 г</v>
      </c>
      <c r="F80" s="1" t="str">
        <f t="shared" si="36"/>
        <v>$2,64 + $0,0055/1 г</v>
      </c>
      <c r="G80" s="1" t="str">
        <f t="shared" si="37"/>
        <v>Разрешено</v>
      </c>
      <c r="L80" s="1">
        <v>2</v>
      </c>
      <c r="M80" s="1" t="s">
        <v>386</v>
      </c>
      <c r="N80" s="1" t="s">
        <v>261</v>
      </c>
      <c r="O80" s="1" t="s">
        <v>309</v>
      </c>
      <c r="P80" s="1">
        <v>2.15</v>
      </c>
      <c r="Q80" s="1">
        <v>5.5</v>
      </c>
      <c r="R80" s="1" t="s">
        <v>387</v>
      </c>
      <c r="S80" s="1">
        <f t="shared" si="31"/>
        <v>5</v>
      </c>
      <c r="T80" s="1">
        <v>10</v>
      </c>
      <c r="U80" s="1" t="s">
        <v>388</v>
      </c>
    </row>
    <row r="81" spans="2:21">
      <c r="B81" s="1" t="str">
        <f t="shared" si="32"/>
        <v>CEL Express Small</v>
      </c>
      <c r="C81" s="2">
        <f t="shared" si="33"/>
        <v>3</v>
      </c>
      <c r="D81" s="1" t="str">
        <f t="shared" si="34"/>
        <v>5-10</v>
      </c>
      <c r="E81" s="1" t="str">
        <f t="shared" si="35"/>
        <v>¥14,9 + ¥0,04/1 г</v>
      </c>
      <c r="F81" s="1" t="str">
        <f t="shared" si="36"/>
        <v>¥18,4 + ¥0,04/1 г</v>
      </c>
      <c r="G81" s="1" t="str">
        <f t="shared" si="37"/>
        <v>Запрещено</v>
      </c>
      <c r="L81" s="1">
        <v>3</v>
      </c>
      <c r="M81" s="1" t="s">
        <v>392</v>
      </c>
      <c r="N81" s="1" t="s">
        <v>261</v>
      </c>
      <c r="O81" s="1" t="s">
        <v>309</v>
      </c>
      <c r="P81" s="1">
        <v>14.9</v>
      </c>
      <c r="Q81" s="1">
        <v>40</v>
      </c>
      <c r="R81" s="1" t="s">
        <v>384</v>
      </c>
      <c r="S81" s="1">
        <f t="shared" si="31"/>
        <v>5</v>
      </c>
      <c r="T81" s="1">
        <v>10</v>
      </c>
      <c r="U81" s="1" t="s">
        <v>264</v>
      </c>
    </row>
    <row r="82" spans="2:21">
      <c r="B82" s="1" t="str">
        <f t="shared" si="32"/>
        <v>GBS Express Small</v>
      </c>
      <c r="C82" s="2">
        <f t="shared" si="33"/>
        <v>4</v>
      </c>
      <c r="D82" s="1" t="str">
        <f t="shared" si="34"/>
        <v>5-10</v>
      </c>
      <c r="E82" s="1" t="str">
        <f t="shared" si="35"/>
        <v>¥16 + ¥0,04275/1 г</v>
      </c>
      <c r="F82" s="1" t="str">
        <f t="shared" si="36"/>
        <v>¥19,5 + ¥0,04275/1 г</v>
      </c>
      <c r="G82" s="1" t="str">
        <f t="shared" si="37"/>
        <v>Запрещено</v>
      </c>
      <c r="L82" s="1">
        <v>4</v>
      </c>
      <c r="M82" s="1" t="s">
        <v>402</v>
      </c>
      <c r="N82" s="1" t="s">
        <v>261</v>
      </c>
      <c r="O82" s="1" t="s">
        <v>309</v>
      </c>
      <c r="P82" s="1">
        <v>16</v>
      </c>
      <c r="Q82" s="1">
        <v>42.75</v>
      </c>
      <c r="R82" s="1" t="s">
        <v>384</v>
      </c>
      <c r="S82" s="1">
        <f t="shared" si="31"/>
        <v>5</v>
      </c>
      <c r="T82" s="1">
        <v>10</v>
      </c>
      <c r="U82" s="1" t="s">
        <v>385</v>
      </c>
    </row>
    <row r="83" spans="2:21">
      <c r="B83" s="1" t="str">
        <f t="shared" si="32"/>
        <v>7D Express Small</v>
      </c>
      <c r="C83" s="2">
        <f t="shared" si="33"/>
        <v>5</v>
      </c>
      <c r="D83" s="1" t="str">
        <f t="shared" si="34"/>
        <v>4-9</v>
      </c>
      <c r="E83" s="1" t="str">
        <f t="shared" si="35"/>
        <v>¥16 + ¥0,041/1 г</v>
      </c>
      <c r="F83" s="1" t="str">
        <f t="shared" si="36"/>
        <v>¥19,5 + ¥0,041/1 г</v>
      </c>
      <c r="G83" s="1" t="str">
        <f t="shared" si="37"/>
        <v>Разрешено</v>
      </c>
      <c r="L83" s="1">
        <v>5</v>
      </c>
      <c r="M83" s="1" t="s">
        <v>404</v>
      </c>
      <c r="N83" s="1" t="s">
        <v>261</v>
      </c>
      <c r="O83" s="1" t="s">
        <v>309</v>
      </c>
      <c r="P83" s="1">
        <v>16</v>
      </c>
      <c r="Q83" s="1">
        <v>41</v>
      </c>
      <c r="R83" s="1" t="s">
        <v>384</v>
      </c>
      <c r="S83" s="1">
        <f t="shared" si="31"/>
        <v>4</v>
      </c>
      <c r="T83" s="1">
        <v>9</v>
      </c>
      <c r="U83" s="1" t="s">
        <v>277</v>
      </c>
    </row>
    <row r="84" spans="2:21">
      <c r="B84" s="1" t="str">
        <f t="shared" si="32"/>
        <v>IML Express Small</v>
      </c>
      <c r="C84" s="2">
        <f t="shared" si="33"/>
        <v>6</v>
      </c>
      <c r="D84" s="1" t="str">
        <f t="shared" si="34"/>
        <v>3-8</v>
      </c>
      <c r="E84" s="1" t="str">
        <f t="shared" si="35"/>
        <v>¥15,95 + ¥0,045/1 г</v>
      </c>
      <c r="F84" s="1" t="str">
        <f t="shared" si="36"/>
        <v>¥19,45 + ¥0,045/1 г</v>
      </c>
      <c r="G84" s="1" t="str">
        <f t="shared" si="37"/>
        <v>Разрешено</v>
      </c>
      <c r="L84" s="1">
        <v>6</v>
      </c>
      <c r="M84" s="1" t="s">
        <v>395</v>
      </c>
      <c r="N84" s="1" t="s">
        <v>261</v>
      </c>
      <c r="O84" s="1" t="s">
        <v>309</v>
      </c>
      <c r="P84" s="1">
        <v>15.95</v>
      </c>
      <c r="Q84" s="1">
        <v>45</v>
      </c>
      <c r="R84" s="1" t="s">
        <v>384</v>
      </c>
      <c r="S84" s="1">
        <f t="shared" si="31"/>
        <v>3</v>
      </c>
      <c r="T84" s="1">
        <v>8</v>
      </c>
      <c r="U84" s="1" t="s">
        <v>277</v>
      </c>
    </row>
    <row r="85" spans="2:21">
      <c r="B85" s="1" t="str">
        <f t="shared" si="32"/>
        <v>Tanais Express Small</v>
      </c>
      <c r="C85" s="2">
        <f t="shared" si="33"/>
        <v>6</v>
      </c>
      <c r="D85" s="1" t="str">
        <f t="shared" si="34"/>
        <v>3-8</v>
      </c>
      <c r="E85" s="1" t="str">
        <f t="shared" si="35"/>
        <v>¥15,9 + ¥0,0448/1 г</v>
      </c>
      <c r="F85" s="1" t="str">
        <f t="shared" si="36"/>
        <v>¥19,4 + ¥0,0448/1 г</v>
      </c>
      <c r="G85" s="1" t="str">
        <f t="shared" si="37"/>
        <v>Запрещено</v>
      </c>
      <c r="L85" s="1">
        <v>6</v>
      </c>
      <c r="M85" s="1" t="s">
        <v>394</v>
      </c>
      <c r="N85" s="1" t="s">
        <v>261</v>
      </c>
      <c r="O85" s="1" t="s">
        <v>309</v>
      </c>
      <c r="P85" s="1">
        <v>15.9</v>
      </c>
      <c r="Q85" s="1">
        <v>44.8</v>
      </c>
      <c r="R85" s="1" t="s">
        <v>384</v>
      </c>
      <c r="S85" s="1">
        <f t="shared" si="31"/>
        <v>3</v>
      </c>
      <c r="T85" s="1">
        <v>8</v>
      </c>
      <c r="U85" s="1" t="s">
        <v>385</v>
      </c>
    </row>
    <row r="86" spans="2:21">
      <c r="B86" s="1" t="str">
        <f t="shared" si="32"/>
        <v>ZTO Express Small</v>
      </c>
      <c r="C86" s="2">
        <f t="shared" si="33"/>
        <v>8</v>
      </c>
      <c r="D86" s="1" t="str">
        <f t="shared" si="34"/>
        <v>5-10</v>
      </c>
      <c r="E86" s="1" t="str">
        <f t="shared" si="35"/>
        <v>¥16 + ¥0,045/1 г</v>
      </c>
      <c r="F86" s="1" t="str">
        <f t="shared" si="36"/>
        <v>¥19,5 + ¥0,045/1 г</v>
      </c>
      <c r="G86" s="1" t="str">
        <f t="shared" si="37"/>
        <v>Запрещено</v>
      </c>
      <c r="L86" s="1">
        <v>8</v>
      </c>
      <c r="M86" s="1" t="s">
        <v>393</v>
      </c>
      <c r="N86" s="1" t="s">
        <v>261</v>
      </c>
      <c r="O86" s="1" t="s">
        <v>309</v>
      </c>
      <c r="P86" s="1">
        <v>16</v>
      </c>
      <c r="Q86" s="1">
        <v>45</v>
      </c>
      <c r="R86" s="1" t="s">
        <v>384</v>
      </c>
      <c r="S86" s="1">
        <f t="shared" si="31"/>
        <v>5</v>
      </c>
      <c r="T86" s="1">
        <v>10</v>
      </c>
      <c r="U86" s="1" t="s">
        <v>264</v>
      </c>
    </row>
    <row r="87" spans="2:21">
      <c r="B87" s="1" t="str">
        <f t="shared" si="32"/>
        <v>Ural Express Small</v>
      </c>
      <c r="C87" s="2">
        <f t="shared" si="33"/>
        <v>9</v>
      </c>
      <c r="D87" s="1" t="str">
        <f t="shared" si="34"/>
        <v>5-10</v>
      </c>
      <c r="E87" s="1" t="str">
        <f t="shared" si="35"/>
        <v>¥16 + ¥0,045/1 г</v>
      </c>
      <c r="F87" s="1" t="str">
        <f t="shared" si="36"/>
        <v>¥19,5 + ¥0,045/1 г</v>
      </c>
      <c r="G87" s="1" t="str">
        <f t="shared" si="37"/>
        <v>Запрещено</v>
      </c>
      <c r="L87" s="1">
        <v>9</v>
      </c>
      <c r="M87" s="1" t="s">
        <v>396</v>
      </c>
      <c r="N87" s="1" t="s">
        <v>261</v>
      </c>
      <c r="O87" s="1" t="s">
        <v>309</v>
      </c>
      <c r="P87" s="1">
        <v>16</v>
      </c>
      <c r="Q87" s="1">
        <v>45</v>
      </c>
      <c r="R87" s="1" t="s">
        <v>384</v>
      </c>
      <c r="S87" s="1">
        <f t="shared" si="31"/>
        <v>5</v>
      </c>
      <c r="T87" s="1">
        <v>10</v>
      </c>
      <c r="U87" s="1" t="s">
        <v>264</v>
      </c>
    </row>
    <row r="88" spans="2:21">
      <c r="B88" s="1" t="str">
        <f t="shared" si="32"/>
        <v>GUOO Express Small</v>
      </c>
      <c r="C88" s="2">
        <f t="shared" si="33"/>
        <v>10</v>
      </c>
      <c r="D88" s="1" t="str">
        <f t="shared" si="34"/>
        <v>5-10</v>
      </c>
      <c r="E88" s="1" t="str">
        <f t="shared" si="35"/>
        <v>¥16 + ¥0,045/1 г</v>
      </c>
      <c r="F88" s="1" t="str">
        <f t="shared" si="36"/>
        <v>¥19,5 + ¥0,045/1 г</v>
      </c>
      <c r="G88" s="1" t="str">
        <f t="shared" si="37"/>
        <v>Запрещено</v>
      </c>
      <c r="L88" s="1">
        <v>10</v>
      </c>
      <c r="M88" s="1" t="s">
        <v>397</v>
      </c>
      <c r="N88" s="1" t="s">
        <v>261</v>
      </c>
      <c r="O88" s="1" t="s">
        <v>309</v>
      </c>
      <c r="P88" s="1">
        <v>16</v>
      </c>
      <c r="Q88" s="1">
        <v>45</v>
      </c>
      <c r="R88" s="1" t="s">
        <v>384</v>
      </c>
      <c r="S88" s="1">
        <f t="shared" si="31"/>
        <v>5</v>
      </c>
      <c r="T88" s="1">
        <v>10</v>
      </c>
      <c r="U88" s="1" t="s">
        <v>264</v>
      </c>
    </row>
    <row r="89" spans="2:21">
      <c r="B89" s="1" t="str">
        <f t="shared" si="32"/>
        <v>TFS Express Small</v>
      </c>
      <c r="C89" s="2">
        <f t="shared" si="33"/>
        <v>11</v>
      </c>
      <c r="D89" s="1" t="str">
        <f t="shared" si="34"/>
        <v>5-10</v>
      </c>
      <c r="E89" s="1" t="str">
        <f t="shared" si="35"/>
        <v>¥16 + ¥0,045/1 г</v>
      </c>
      <c r="F89" s="1" t="str">
        <f t="shared" si="36"/>
        <v>¥19,5 + ¥0,045/1 г</v>
      </c>
      <c r="G89" s="1" t="str">
        <f t="shared" si="37"/>
        <v>Разрешено</v>
      </c>
      <c r="L89" s="1">
        <v>11</v>
      </c>
      <c r="M89" s="1" t="s">
        <v>398</v>
      </c>
      <c r="N89" s="1" t="s">
        <v>261</v>
      </c>
      <c r="O89" s="1" t="s">
        <v>309</v>
      </c>
      <c r="P89" s="1">
        <v>16</v>
      </c>
      <c r="Q89" s="1">
        <v>45</v>
      </c>
      <c r="R89" s="1" t="s">
        <v>384</v>
      </c>
      <c r="S89" s="1">
        <f t="shared" si="31"/>
        <v>5</v>
      </c>
      <c r="T89" s="1">
        <v>10</v>
      </c>
      <c r="U89" s="1" t="s">
        <v>388</v>
      </c>
    </row>
    <row r="91" spans="2:21">
      <c r="B91" s="1" t="str">
        <f t="shared" ref="B91:B105" si="38">M91&amp;" "&amp;N91&amp;" "&amp;O91</f>
        <v>ABT  Standard Small</v>
      </c>
      <c r="C91" s="2">
        <f t="shared" ref="C91:C105" si="39">L91</f>
        <v>1</v>
      </c>
      <c r="D91" s="1" t="str">
        <f t="shared" ref="D91:D105" si="40">T91-5&amp;"-"&amp;T91</f>
        <v>10-15</v>
      </c>
      <c r="E91" s="1" t="str">
        <f t="shared" ref="E91:E105" si="41">IF(R91="CNY","¥"&amp;P91&amp;" + ¥"&amp;Q91/1000&amp;"/1 г",IF(R91="USD","$"&amp;P91&amp;" + $"&amp;Q91/1000&amp;"/1 г","Error"))</f>
        <v>¥14 + ¥0,027/1 г</v>
      </c>
      <c r="F91" s="1" t="str">
        <f t="shared" ref="F91:F105" si="42">IF(R91="CNY","¥"&amp;P91+3.5&amp;" + ¥"&amp;Q91/1000&amp;"/1 г",IF(R91="USD","$"&amp;P91+0.49&amp;" + $"&amp;Q91/1000&amp;"/1 г","Error"))</f>
        <v>¥17,5 + ¥0,027/1 г</v>
      </c>
      <c r="G91" s="1" t="str">
        <f t="shared" ref="G91:G105" si="43">IF(OR(U91="Разрешено",U91="允许"),"Разрешено",IF(OR(U91="Запрещено",U91="禁止"),"Запрещено","Error"))</f>
        <v>Разрешено</v>
      </c>
      <c r="L91" s="1">
        <v>1</v>
      </c>
      <c r="M91" s="1" t="s">
        <v>389</v>
      </c>
      <c r="N91" s="1" t="s">
        <v>280</v>
      </c>
      <c r="O91" s="1" t="s">
        <v>309</v>
      </c>
      <c r="P91" s="1">
        <v>14</v>
      </c>
      <c r="Q91" s="1">
        <v>27</v>
      </c>
      <c r="R91" s="1" t="s">
        <v>384</v>
      </c>
      <c r="S91" s="1">
        <f t="shared" si="31"/>
        <v>10</v>
      </c>
      <c r="T91" s="1">
        <v>15</v>
      </c>
      <c r="U91" s="1" t="s">
        <v>277</v>
      </c>
    </row>
    <row r="92" spans="2:21">
      <c r="B92" s="1" t="str">
        <f t="shared" si="38"/>
        <v>UNI Standard Small</v>
      </c>
      <c r="C92" s="2">
        <f t="shared" si="39"/>
        <v>2</v>
      </c>
      <c r="D92" s="1" t="str">
        <f t="shared" si="40"/>
        <v>10-15</v>
      </c>
      <c r="E92" s="1" t="str">
        <f t="shared" si="41"/>
        <v>$2,01 + $0,00362/1 г</v>
      </c>
      <c r="F92" s="1" t="str">
        <f t="shared" si="42"/>
        <v>$2,5 + $0,00362/1 г</v>
      </c>
      <c r="G92" s="1" t="str">
        <f t="shared" si="43"/>
        <v>Разрешено</v>
      </c>
      <c r="L92" s="1">
        <v>2</v>
      </c>
      <c r="M92" s="1" t="s">
        <v>386</v>
      </c>
      <c r="N92" s="1" t="s">
        <v>280</v>
      </c>
      <c r="O92" s="1" t="s">
        <v>309</v>
      </c>
      <c r="P92" s="1">
        <v>2.01</v>
      </c>
      <c r="Q92" s="1">
        <v>3.62</v>
      </c>
      <c r="R92" s="1" t="s">
        <v>387</v>
      </c>
      <c r="S92" s="1">
        <f t="shared" si="31"/>
        <v>10</v>
      </c>
      <c r="T92" s="1">
        <v>15</v>
      </c>
      <c r="U92" s="1" t="s">
        <v>388</v>
      </c>
    </row>
    <row r="93" spans="2:21">
      <c r="B93" s="1" t="str">
        <f t="shared" si="38"/>
        <v>RETS Standard Small</v>
      </c>
      <c r="C93" s="2">
        <f t="shared" si="39"/>
        <v>3</v>
      </c>
      <c r="D93" s="1" t="str">
        <f t="shared" si="40"/>
        <v>7-12</v>
      </c>
      <c r="E93" s="1" t="str">
        <f t="shared" si="41"/>
        <v>¥15 + ¥0,027/1 г</v>
      </c>
      <c r="F93" s="1" t="str">
        <f t="shared" si="42"/>
        <v>¥18,5 + ¥0,027/1 г</v>
      </c>
      <c r="G93" s="1" t="str">
        <f t="shared" si="43"/>
        <v>Разрешено</v>
      </c>
      <c r="L93" s="1">
        <v>3</v>
      </c>
      <c r="M93" s="1" t="s">
        <v>383</v>
      </c>
      <c r="N93" s="1" t="s">
        <v>280</v>
      </c>
      <c r="O93" s="1" t="s">
        <v>309</v>
      </c>
      <c r="P93" s="1">
        <v>15</v>
      </c>
      <c r="Q93" s="1">
        <v>27</v>
      </c>
      <c r="R93" s="1" t="s">
        <v>384</v>
      </c>
      <c r="S93" s="1">
        <f t="shared" si="31"/>
        <v>7</v>
      </c>
      <c r="T93" s="1">
        <v>12</v>
      </c>
      <c r="U93" s="1" t="s">
        <v>388</v>
      </c>
    </row>
    <row r="94" spans="2:21">
      <c r="B94" s="1" t="str">
        <f t="shared" si="38"/>
        <v>OYX  Standard Small</v>
      </c>
      <c r="C94" s="2">
        <f t="shared" si="39"/>
        <v>4</v>
      </c>
      <c r="D94" s="1" t="str">
        <f t="shared" si="40"/>
        <v>10-15</v>
      </c>
      <c r="E94" s="1" t="str">
        <f t="shared" si="41"/>
        <v>¥15 + ¥0,0268/1 г</v>
      </c>
      <c r="F94" s="1" t="str">
        <f t="shared" si="42"/>
        <v>¥18,5 + ¥0,0268/1 г</v>
      </c>
      <c r="G94" s="1" t="str">
        <f t="shared" si="43"/>
        <v>Разрешено</v>
      </c>
      <c r="L94" s="1">
        <v>4</v>
      </c>
      <c r="M94" s="1" t="s">
        <v>390</v>
      </c>
      <c r="N94" s="1" t="s">
        <v>280</v>
      </c>
      <c r="O94" s="1" t="s">
        <v>309</v>
      </c>
      <c r="P94" s="1">
        <v>15</v>
      </c>
      <c r="Q94" s="1">
        <v>26.8</v>
      </c>
      <c r="R94" s="1" t="s">
        <v>384</v>
      </c>
      <c r="S94" s="1">
        <f t="shared" si="31"/>
        <v>10</v>
      </c>
      <c r="T94" s="1">
        <v>15</v>
      </c>
      <c r="U94" s="1" t="s">
        <v>277</v>
      </c>
    </row>
    <row r="95" spans="2:21">
      <c r="B95" s="1" t="str">
        <f t="shared" si="38"/>
        <v>Xingyuan Standard Small</v>
      </c>
      <c r="C95" s="2">
        <f t="shared" si="39"/>
        <v>5</v>
      </c>
      <c r="D95" s="1" t="str">
        <f t="shared" si="40"/>
        <v>10-15</v>
      </c>
      <c r="E95" s="1" t="str">
        <f t="shared" si="41"/>
        <v>¥15 + ¥0,027/1 г</v>
      </c>
      <c r="F95" s="1" t="str">
        <f t="shared" si="42"/>
        <v>¥18,5 + ¥0,027/1 г</v>
      </c>
      <c r="G95" s="1" t="str">
        <f t="shared" si="43"/>
        <v>Разрешено</v>
      </c>
      <c r="L95" s="1">
        <v>5</v>
      </c>
      <c r="M95" s="1" t="s">
        <v>391</v>
      </c>
      <c r="N95" s="1" t="s">
        <v>280</v>
      </c>
      <c r="O95" s="1" t="s">
        <v>309</v>
      </c>
      <c r="P95" s="1">
        <v>15</v>
      </c>
      <c r="Q95" s="1">
        <v>27</v>
      </c>
      <c r="R95" s="1" t="s">
        <v>384</v>
      </c>
      <c r="S95" s="1">
        <f t="shared" si="31"/>
        <v>10</v>
      </c>
      <c r="T95" s="1">
        <v>15</v>
      </c>
      <c r="U95" s="1" t="s">
        <v>277</v>
      </c>
    </row>
    <row r="96" spans="2:21">
      <c r="B96" s="1" t="str">
        <f t="shared" si="38"/>
        <v>CEL Standard Small</v>
      </c>
      <c r="C96" s="2">
        <f t="shared" si="39"/>
        <v>6</v>
      </c>
      <c r="D96" s="1" t="str">
        <f t="shared" si="40"/>
        <v>8-13</v>
      </c>
      <c r="E96" s="1" t="str">
        <f t="shared" si="41"/>
        <v>¥14,9 + ¥0,0286/1 г</v>
      </c>
      <c r="F96" s="1" t="str">
        <f t="shared" si="42"/>
        <v>¥18,4 + ¥0,0286/1 г</v>
      </c>
      <c r="G96" s="1" t="str">
        <f t="shared" si="43"/>
        <v>Разрешено</v>
      </c>
      <c r="L96" s="1">
        <v>6</v>
      </c>
      <c r="M96" s="1" t="s">
        <v>392</v>
      </c>
      <c r="N96" s="1" t="s">
        <v>280</v>
      </c>
      <c r="O96" s="1" t="s">
        <v>309</v>
      </c>
      <c r="P96" s="1">
        <v>14.9</v>
      </c>
      <c r="Q96" s="1">
        <v>28.6</v>
      </c>
      <c r="R96" s="1" t="s">
        <v>384</v>
      </c>
      <c r="S96" s="1">
        <f t="shared" si="31"/>
        <v>8</v>
      </c>
      <c r="T96" s="1">
        <v>13</v>
      </c>
      <c r="U96" s="1" t="s">
        <v>277</v>
      </c>
    </row>
    <row r="97" spans="2:21">
      <c r="B97" s="1" t="str">
        <f t="shared" si="38"/>
        <v>ATC Standard Small</v>
      </c>
      <c r="C97" s="2">
        <f t="shared" si="39"/>
        <v>7</v>
      </c>
      <c r="D97" s="1" t="str">
        <f t="shared" si="40"/>
        <v>10-15</v>
      </c>
      <c r="E97" s="1" t="str">
        <f t="shared" si="41"/>
        <v>¥15,8 + ¥0,033/1 г</v>
      </c>
      <c r="F97" s="1" t="str">
        <f t="shared" si="42"/>
        <v>¥19,3 + ¥0,033/1 г</v>
      </c>
      <c r="G97" s="1" t="str">
        <f t="shared" si="43"/>
        <v>Разрешено</v>
      </c>
      <c r="L97" s="1">
        <v>7</v>
      </c>
      <c r="M97" s="1" t="s">
        <v>399</v>
      </c>
      <c r="N97" s="1" t="s">
        <v>280</v>
      </c>
      <c r="O97" s="1" t="s">
        <v>309</v>
      </c>
      <c r="P97" s="1">
        <v>15.8</v>
      </c>
      <c r="Q97" s="1">
        <v>33</v>
      </c>
      <c r="R97" s="1" t="s">
        <v>384</v>
      </c>
      <c r="S97" s="1">
        <f t="shared" si="31"/>
        <v>10</v>
      </c>
      <c r="T97" s="1">
        <v>15</v>
      </c>
      <c r="U97" s="1" t="s">
        <v>388</v>
      </c>
    </row>
    <row r="98" spans="2:21">
      <c r="B98" s="1" t="str">
        <f t="shared" si="38"/>
        <v>GBS Standard Small</v>
      </c>
      <c r="C98" s="2">
        <f t="shared" si="39"/>
        <v>8</v>
      </c>
      <c r="D98" s="1" t="str">
        <f t="shared" si="40"/>
        <v>9-14</v>
      </c>
      <c r="E98" s="1" t="str">
        <f t="shared" si="41"/>
        <v>¥15,2 + ¥0,034/1 г</v>
      </c>
      <c r="F98" s="1" t="str">
        <f t="shared" si="42"/>
        <v>¥18,7 + ¥0,034/1 г</v>
      </c>
      <c r="G98" s="1" t="str">
        <f t="shared" si="43"/>
        <v>Разрешено</v>
      </c>
      <c r="L98" s="1">
        <v>8</v>
      </c>
      <c r="M98" s="1" t="s">
        <v>402</v>
      </c>
      <c r="N98" s="1" t="s">
        <v>280</v>
      </c>
      <c r="O98" s="1" t="s">
        <v>309</v>
      </c>
      <c r="P98" s="1">
        <v>15.2</v>
      </c>
      <c r="Q98" s="1">
        <v>34</v>
      </c>
      <c r="R98" s="1" t="s">
        <v>384</v>
      </c>
      <c r="S98" s="1">
        <f t="shared" si="31"/>
        <v>9</v>
      </c>
      <c r="T98" s="1">
        <v>14</v>
      </c>
      <c r="U98" s="1" t="s">
        <v>388</v>
      </c>
    </row>
    <row r="99" spans="2:21">
      <c r="B99" s="1" t="str">
        <f t="shared" si="38"/>
        <v>ZTO Standard Small</v>
      </c>
      <c r="C99" s="2">
        <f t="shared" si="39"/>
        <v>9</v>
      </c>
      <c r="D99" s="1" t="str">
        <f t="shared" si="40"/>
        <v>10-15</v>
      </c>
      <c r="E99" s="1" t="str">
        <f t="shared" si="41"/>
        <v>¥16 + ¥0,035/1 г</v>
      </c>
      <c r="F99" s="1" t="str">
        <f t="shared" si="42"/>
        <v>¥19,5 + ¥0,035/1 г</v>
      </c>
      <c r="G99" s="1" t="str">
        <f t="shared" si="43"/>
        <v>Разрешено</v>
      </c>
      <c r="L99" s="1">
        <v>9</v>
      </c>
      <c r="M99" s="1" t="s">
        <v>393</v>
      </c>
      <c r="N99" s="1" t="s">
        <v>280</v>
      </c>
      <c r="O99" s="1" t="s">
        <v>309</v>
      </c>
      <c r="P99" s="1">
        <v>16</v>
      </c>
      <c r="Q99" s="1">
        <v>35</v>
      </c>
      <c r="R99" s="1" t="s">
        <v>384</v>
      </c>
      <c r="S99" s="1">
        <f t="shared" si="31"/>
        <v>10</v>
      </c>
      <c r="T99" s="1">
        <v>15</v>
      </c>
      <c r="U99" s="1" t="s">
        <v>277</v>
      </c>
    </row>
    <row r="100" spans="2:21">
      <c r="B100" s="1" t="str">
        <f t="shared" si="38"/>
        <v>Ural Standard Small</v>
      </c>
      <c r="C100" s="2">
        <f t="shared" si="39"/>
        <v>10</v>
      </c>
      <c r="D100" s="1" t="str">
        <f t="shared" si="40"/>
        <v>10-15</v>
      </c>
      <c r="E100" s="1" t="str">
        <f t="shared" si="41"/>
        <v>¥16 + ¥0,035/1 г</v>
      </c>
      <c r="F100" s="1" t="str">
        <f t="shared" si="42"/>
        <v>¥19,5 + ¥0,035/1 г</v>
      </c>
      <c r="G100" s="1" t="str">
        <f t="shared" si="43"/>
        <v>Разрешено</v>
      </c>
      <c r="L100" s="1">
        <v>10</v>
      </c>
      <c r="M100" s="1" t="s">
        <v>396</v>
      </c>
      <c r="N100" s="1" t="s">
        <v>280</v>
      </c>
      <c r="O100" s="1" t="s">
        <v>309</v>
      </c>
      <c r="P100" s="1">
        <v>16</v>
      </c>
      <c r="Q100" s="1">
        <v>35</v>
      </c>
      <c r="R100" s="1" t="s">
        <v>384</v>
      </c>
      <c r="S100" s="1">
        <f t="shared" si="31"/>
        <v>10</v>
      </c>
      <c r="T100" s="1">
        <v>15</v>
      </c>
      <c r="U100" s="1" t="s">
        <v>277</v>
      </c>
    </row>
    <row r="101" spans="2:21">
      <c r="B101" s="1" t="str">
        <f t="shared" si="38"/>
        <v>Leader Standard Small</v>
      </c>
      <c r="C101" s="2">
        <f t="shared" si="39"/>
        <v>10</v>
      </c>
      <c r="D101" s="1" t="str">
        <f t="shared" si="40"/>
        <v>10-15</v>
      </c>
      <c r="E101" s="1" t="str">
        <f t="shared" si="41"/>
        <v>¥15,5 + ¥0,035/1 г</v>
      </c>
      <c r="F101" s="1" t="str">
        <f t="shared" si="42"/>
        <v>¥19 + ¥0,035/1 г</v>
      </c>
      <c r="G101" s="1" t="str">
        <f t="shared" si="43"/>
        <v>Разрешено</v>
      </c>
      <c r="L101" s="1">
        <v>10</v>
      </c>
      <c r="M101" s="1" t="s">
        <v>401</v>
      </c>
      <c r="N101" s="1" t="s">
        <v>280</v>
      </c>
      <c r="O101" s="1" t="s">
        <v>309</v>
      </c>
      <c r="P101" s="1">
        <v>15.5</v>
      </c>
      <c r="Q101" s="1">
        <v>35</v>
      </c>
      <c r="R101" s="1" t="s">
        <v>384</v>
      </c>
      <c r="S101" s="1">
        <f t="shared" si="31"/>
        <v>10</v>
      </c>
      <c r="T101" s="1">
        <v>15</v>
      </c>
      <c r="U101" s="1" t="s">
        <v>277</v>
      </c>
    </row>
    <row r="102" spans="2:21">
      <c r="B102" s="1" t="str">
        <f t="shared" si="38"/>
        <v>IML Standard Small</v>
      </c>
      <c r="C102" s="2">
        <f t="shared" si="39"/>
        <v>12</v>
      </c>
      <c r="D102" s="1" t="str">
        <f t="shared" si="40"/>
        <v>9-14</v>
      </c>
      <c r="E102" s="1" t="str">
        <f t="shared" si="41"/>
        <v>¥15,95 + ¥0,035/1 г</v>
      </c>
      <c r="F102" s="1" t="str">
        <f t="shared" si="42"/>
        <v>¥19,45 + ¥0,035/1 г</v>
      </c>
      <c r="G102" s="1" t="str">
        <f t="shared" si="43"/>
        <v>Разрешено</v>
      </c>
      <c r="L102" s="1">
        <v>12</v>
      </c>
      <c r="M102" s="1" t="s">
        <v>395</v>
      </c>
      <c r="N102" s="1" t="s">
        <v>280</v>
      </c>
      <c r="O102" s="1" t="s">
        <v>309</v>
      </c>
      <c r="P102" s="1">
        <v>15.95</v>
      </c>
      <c r="Q102" s="1">
        <v>35</v>
      </c>
      <c r="R102" s="1" t="s">
        <v>384</v>
      </c>
      <c r="S102" s="1">
        <f t="shared" si="31"/>
        <v>9</v>
      </c>
      <c r="T102" s="1">
        <v>14</v>
      </c>
      <c r="U102" s="1" t="s">
        <v>277</v>
      </c>
    </row>
    <row r="103" spans="2:21">
      <c r="B103" s="1" t="str">
        <f t="shared" si="38"/>
        <v>Tanais Standard Small</v>
      </c>
      <c r="C103" s="2">
        <f t="shared" si="39"/>
        <v>12</v>
      </c>
      <c r="D103" s="1" t="str">
        <f t="shared" si="40"/>
        <v>10-15</v>
      </c>
      <c r="E103" s="1" t="str">
        <f t="shared" si="41"/>
        <v>¥15,9 + ¥0,0345/1 г</v>
      </c>
      <c r="F103" s="1" t="str">
        <f t="shared" si="42"/>
        <v>¥19,4 + ¥0,0345/1 г</v>
      </c>
      <c r="G103" s="1" t="str">
        <f t="shared" si="43"/>
        <v>Разрешено</v>
      </c>
      <c r="L103" s="1">
        <v>12</v>
      </c>
      <c r="M103" s="1" t="s">
        <v>394</v>
      </c>
      <c r="N103" s="1" t="s">
        <v>280</v>
      </c>
      <c r="O103" s="1" t="s">
        <v>309</v>
      </c>
      <c r="P103" s="1">
        <v>15.9</v>
      </c>
      <c r="Q103" s="1">
        <v>34.5</v>
      </c>
      <c r="R103" s="1" t="s">
        <v>384</v>
      </c>
      <c r="S103" s="1">
        <f t="shared" si="31"/>
        <v>10</v>
      </c>
      <c r="T103" s="1">
        <v>15</v>
      </c>
      <c r="U103" s="1" t="s">
        <v>388</v>
      </c>
    </row>
    <row r="104" spans="2:21">
      <c r="B104" s="1" t="str">
        <f t="shared" si="38"/>
        <v>GUOO Standard Small</v>
      </c>
      <c r="C104" s="2">
        <f t="shared" si="39"/>
        <v>14</v>
      </c>
      <c r="D104" s="1" t="str">
        <f t="shared" si="40"/>
        <v>10-15</v>
      </c>
      <c r="E104" s="1" t="str">
        <f t="shared" si="41"/>
        <v>¥16 + ¥0,035/1 г</v>
      </c>
      <c r="F104" s="1" t="str">
        <f t="shared" si="42"/>
        <v>¥19,5 + ¥0,035/1 г</v>
      </c>
      <c r="G104" s="1" t="str">
        <f t="shared" si="43"/>
        <v>Разрешено</v>
      </c>
      <c r="L104" s="1">
        <v>14</v>
      </c>
      <c r="M104" s="1" t="s">
        <v>397</v>
      </c>
      <c r="N104" s="1" t="s">
        <v>280</v>
      </c>
      <c r="O104" s="1" t="s">
        <v>309</v>
      </c>
      <c r="P104" s="1">
        <v>16</v>
      </c>
      <c r="Q104" s="1">
        <v>35</v>
      </c>
      <c r="R104" s="1" t="s">
        <v>384</v>
      </c>
      <c r="S104" s="1">
        <f t="shared" si="31"/>
        <v>10</v>
      </c>
      <c r="T104" s="1">
        <v>15</v>
      </c>
      <c r="U104" s="1" t="s">
        <v>277</v>
      </c>
    </row>
    <row r="105" spans="2:21">
      <c r="B105" s="1" t="str">
        <f t="shared" si="38"/>
        <v>TFS Standard Small</v>
      </c>
      <c r="C105" s="2">
        <f t="shared" si="39"/>
        <v>15</v>
      </c>
      <c r="D105" s="1" t="str">
        <f t="shared" si="40"/>
        <v>10-15</v>
      </c>
      <c r="E105" s="1" t="str">
        <f t="shared" si="41"/>
        <v>¥16 + ¥0,035/1 г</v>
      </c>
      <c r="F105" s="1" t="str">
        <f t="shared" si="42"/>
        <v>¥19,5 + ¥0,035/1 г</v>
      </c>
      <c r="G105" s="1" t="str">
        <f t="shared" si="43"/>
        <v>Разрешено</v>
      </c>
      <c r="L105" s="1">
        <v>15</v>
      </c>
      <c r="M105" s="1" t="s">
        <v>398</v>
      </c>
      <c r="N105" s="1" t="s">
        <v>280</v>
      </c>
      <c r="O105" s="1" t="s">
        <v>309</v>
      </c>
      <c r="P105" s="1">
        <v>16</v>
      </c>
      <c r="Q105" s="1">
        <v>35</v>
      </c>
      <c r="R105" s="1" t="s">
        <v>384</v>
      </c>
      <c r="S105" s="1">
        <f t="shared" si="31"/>
        <v>10</v>
      </c>
      <c r="T105" s="1">
        <v>15</v>
      </c>
      <c r="U105" s="1" t="s">
        <v>388</v>
      </c>
    </row>
    <row r="107" spans="2:21">
      <c r="B107" s="1" t="str">
        <f t="shared" ref="B107:B121" si="44">M107&amp;" "&amp;N107&amp;" "&amp;O107</f>
        <v>RETS Economy Small</v>
      </c>
      <c r="C107" s="2">
        <f t="shared" ref="C107:C121" si="45">L107</f>
        <v>1</v>
      </c>
      <c r="D107" s="1" t="str">
        <f t="shared" ref="D107:D121" si="46">T107-5&amp;"-"&amp;T107</f>
        <v>12-17</v>
      </c>
      <c r="E107" s="1" t="str">
        <f t="shared" ref="E107:E121" si="47">IF(R107="CNY","¥"&amp;P107&amp;" + ¥"&amp;Q107/1000&amp;"/1 г",IF(R107="USD","$"&amp;P107&amp;" + $"&amp;Q107/1000&amp;"/1 г","Error"))</f>
        <v>¥14 + ¥0,023/1 г</v>
      </c>
      <c r="F107" s="1" t="str">
        <f t="shared" ref="F107:F121" si="48">IF(R107="CNY","¥"&amp;P107+3.5&amp;" + ¥"&amp;Q107/1000&amp;"/1 г",IF(R107="USD","$"&amp;P107+0.49&amp;" + $"&amp;Q107/1000&amp;"/1 г","Error"))</f>
        <v>¥17,5 + ¥0,023/1 г</v>
      </c>
      <c r="G107" s="1" t="str">
        <f t="shared" ref="G107:G121" si="49">IF(OR(U107="Разрешено",U107="允许"),"Разрешено",IF(OR(U107="Запрещено",U107="禁止"),"Запрещено","Error"))</f>
        <v>Разрешено</v>
      </c>
      <c r="L107" s="1">
        <v>1</v>
      </c>
      <c r="M107" s="1" t="s">
        <v>383</v>
      </c>
      <c r="N107" s="1" t="s">
        <v>287</v>
      </c>
      <c r="O107" s="1" t="s">
        <v>309</v>
      </c>
      <c r="P107" s="1">
        <v>14</v>
      </c>
      <c r="Q107" s="1">
        <v>23</v>
      </c>
      <c r="R107" s="1" t="s">
        <v>384</v>
      </c>
      <c r="S107" s="1">
        <f t="shared" si="31"/>
        <v>12</v>
      </c>
      <c r="T107" s="1">
        <v>17</v>
      </c>
      <c r="U107" s="1" t="s">
        <v>388</v>
      </c>
    </row>
    <row r="108" spans="2:21">
      <c r="B108" s="1" t="str">
        <f t="shared" si="44"/>
        <v>Cainiao Economy Small</v>
      </c>
      <c r="C108" s="2">
        <f t="shared" si="45"/>
        <v>2</v>
      </c>
      <c r="D108" s="1" t="str">
        <f t="shared" si="46"/>
        <v>14-19</v>
      </c>
      <c r="E108" s="1" t="str">
        <f t="shared" si="47"/>
        <v>¥14 + ¥0,023/1 г</v>
      </c>
      <c r="F108" s="1" t="str">
        <f t="shared" si="48"/>
        <v>¥17,5 + ¥0,023/1 г</v>
      </c>
      <c r="G108" s="1" t="str">
        <f t="shared" si="49"/>
        <v>Разрешено</v>
      </c>
      <c r="L108" s="1">
        <v>2</v>
      </c>
      <c r="M108" s="1" t="s">
        <v>400</v>
      </c>
      <c r="N108" s="1" t="s">
        <v>287</v>
      </c>
      <c r="O108" s="1" t="s">
        <v>309</v>
      </c>
      <c r="P108" s="1">
        <v>14</v>
      </c>
      <c r="Q108" s="1">
        <v>23</v>
      </c>
      <c r="R108" s="1" t="s">
        <v>384</v>
      </c>
      <c r="S108" s="1">
        <f t="shared" si="31"/>
        <v>14</v>
      </c>
      <c r="T108" s="1">
        <v>19</v>
      </c>
      <c r="U108" s="1" t="s">
        <v>277</v>
      </c>
    </row>
    <row r="109" spans="2:21">
      <c r="B109" s="1" t="str">
        <f t="shared" si="44"/>
        <v>CEL Economy Small</v>
      </c>
      <c r="C109" s="2">
        <f t="shared" si="45"/>
        <v>3</v>
      </c>
      <c r="D109" s="1" t="str">
        <f t="shared" si="46"/>
        <v>15-20</v>
      </c>
      <c r="E109" s="1" t="str">
        <f t="shared" si="47"/>
        <v>¥14 + ¥0,023/1 г</v>
      </c>
      <c r="F109" s="1" t="str">
        <f t="shared" si="48"/>
        <v>¥17,5 + ¥0,023/1 г</v>
      </c>
      <c r="G109" s="1" t="str">
        <f t="shared" si="49"/>
        <v>Разрешено</v>
      </c>
      <c r="L109" s="1">
        <v>3</v>
      </c>
      <c r="M109" s="1" t="s">
        <v>392</v>
      </c>
      <c r="N109" s="1" t="s">
        <v>287</v>
      </c>
      <c r="O109" s="1" t="s">
        <v>309</v>
      </c>
      <c r="P109" s="1">
        <v>14</v>
      </c>
      <c r="Q109" s="1">
        <v>23</v>
      </c>
      <c r="R109" s="1" t="s">
        <v>384</v>
      </c>
      <c r="S109" s="1">
        <f t="shared" si="31"/>
        <v>15</v>
      </c>
      <c r="T109" s="1">
        <v>20</v>
      </c>
      <c r="U109" s="1" t="s">
        <v>277</v>
      </c>
    </row>
    <row r="110" spans="2:21">
      <c r="B110" s="1" t="str">
        <f t="shared" si="44"/>
        <v>ABT  Economy Small</v>
      </c>
      <c r="C110" s="2">
        <f t="shared" si="45"/>
        <v>4</v>
      </c>
      <c r="D110" s="1" t="str">
        <f t="shared" si="46"/>
        <v>15-20</v>
      </c>
      <c r="E110" s="1" t="str">
        <f t="shared" si="47"/>
        <v>¥14 + ¥0,024/1 г</v>
      </c>
      <c r="F110" s="1" t="str">
        <f t="shared" si="48"/>
        <v>¥17,5 + ¥0,024/1 г</v>
      </c>
      <c r="G110" s="1" t="str">
        <f t="shared" si="49"/>
        <v>Разрешено</v>
      </c>
      <c r="L110" s="1">
        <v>4</v>
      </c>
      <c r="M110" s="1" t="s">
        <v>389</v>
      </c>
      <c r="N110" s="1" t="s">
        <v>287</v>
      </c>
      <c r="O110" s="1" t="s">
        <v>309</v>
      </c>
      <c r="P110" s="1">
        <v>14</v>
      </c>
      <c r="Q110" s="1">
        <v>24</v>
      </c>
      <c r="R110" s="1" t="s">
        <v>384</v>
      </c>
      <c r="S110" s="1">
        <f t="shared" si="31"/>
        <v>15</v>
      </c>
      <c r="T110" s="1">
        <v>20</v>
      </c>
      <c r="U110" s="1" t="s">
        <v>277</v>
      </c>
    </row>
    <row r="111" spans="2:21">
      <c r="B111" s="1" t="str">
        <f t="shared" si="44"/>
        <v>OYX  Economy Small</v>
      </c>
      <c r="C111" s="2">
        <f t="shared" si="45"/>
        <v>5</v>
      </c>
      <c r="D111" s="1" t="str">
        <f t="shared" si="46"/>
        <v>15-20</v>
      </c>
      <c r="E111" s="1" t="str">
        <f t="shared" si="47"/>
        <v>¥15 + ¥0,0238/1 г</v>
      </c>
      <c r="F111" s="1" t="str">
        <f t="shared" si="48"/>
        <v>¥18,5 + ¥0,0238/1 г</v>
      </c>
      <c r="G111" s="1" t="str">
        <f t="shared" si="49"/>
        <v>Разрешено</v>
      </c>
      <c r="L111" s="1">
        <v>5</v>
      </c>
      <c r="M111" s="1" t="s">
        <v>390</v>
      </c>
      <c r="N111" s="1" t="s">
        <v>287</v>
      </c>
      <c r="O111" s="1" t="s">
        <v>309</v>
      </c>
      <c r="P111" s="1">
        <v>15</v>
      </c>
      <c r="Q111" s="1">
        <v>23.8</v>
      </c>
      <c r="R111" s="1" t="s">
        <v>384</v>
      </c>
      <c r="S111" s="1">
        <f t="shared" si="31"/>
        <v>15</v>
      </c>
      <c r="T111" s="1">
        <v>20</v>
      </c>
      <c r="U111" s="1" t="s">
        <v>277</v>
      </c>
    </row>
    <row r="112" spans="2:21">
      <c r="B112" s="1" t="str">
        <f t="shared" si="44"/>
        <v>Xingyuan Economy Small</v>
      </c>
      <c r="C112" s="2">
        <f t="shared" si="45"/>
        <v>6</v>
      </c>
      <c r="D112" s="1" t="str">
        <f t="shared" si="46"/>
        <v>15-20</v>
      </c>
      <c r="E112" s="1" t="str">
        <f t="shared" si="47"/>
        <v>¥15 + ¥0,024/1 г</v>
      </c>
      <c r="F112" s="1" t="str">
        <f t="shared" si="48"/>
        <v>¥18,5 + ¥0,024/1 г</v>
      </c>
      <c r="G112" s="1" t="str">
        <f t="shared" si="49"/>
        <v>Разрешено</v>
      </c>
      <c r="L112" s="1">
        <v>6</v>
      </c>
      <c r="M112" s="1" t="s">
        <v>391</v>
      </c>
      <c r="N112" s="1" t="s">
        <v>287</v>
      </c>
      <c r="O112" s="1" t="s">
        <v>309</v>
      </c>
      <c r="P112" s="1">
        <v>15</v>
      </c>
      <c r="Q112" s="1">
        <v>24</v>
      </c>
      <c r="R112" s="1" t="s">
        <v>384</v>
      </c>
      <c r="S112" s="1">
        <f t="shared" si="31"/>
        <v>15</v>
      </c>
      <c r="T112" s="1">
        <v>20</v>
      </c>
      <c r="U112" s="1" t="s">
        <v>277</v>
      </c>
    </row>
    <row r="113" spans="2:21">
      <c r="B113" s="1" t="str">
        <f t="shared" si="44"/>
        <v>GBS Economy Small</v>
      </c>
      <c r="C113" s="2">
        <f t="shared" si="45"/>
        <v>7</v>
      </c>
      <c r="D113" s="1" t="str">
        <f t="shared" si="46"/>
        <v>15-20</v>
      </c>
      <c r="E113" s="1" t="str">
        <f t="shared" si="47"/>
        <v>¥15,2 + ¥0,02375/1 г</v>
      </c>
      <c r="F113" s="1" t="str">
        <f t="shared" si="48"/>
        <v>¥18,7 + ¥0,02375/1 г</v>
      </c>
      <c r="G113" s="1" t="str">
        <f t="shared" si="49"/>
        <v>Разрешено</v>
      </c>
      <c r="L113" s="1">
        <v>7</v>
      </c>
      <c r="M113" s="1" t="s">
        <v>402</v>
      </c>
      <c r="N113" s="1" t="s">
        <v>287</v>
      </c>
      <c r="O113" s="1" t="s">
        <v>309</v>
      </c>
      <c r="P113" s="1">
        <v>15.2</v>
      </c>
      <c r="Q113" s="1">
        <v>23.75</v>
      </c>
      <c r="R113" s="1" t="s">
        <v>384</v>
      </c>
      <c r="S113" s="1">
        <f t="shared" si="31"/>
        <v>15</v>
      </c>
      <c r="T113" s="1">
        <v>20</v>
      </c>
      <c r="U113" s="1" t="s">
        <v>388</v>
      </c>
    </row>
    <row r="114" spans="2:21">
      <c r="B114" s="1" t="str">
        <f t="shared" si="44"/>
        <v>ATC Economy Small</v>
      </c>
      <c r="C114" s="2">
        <f t="shared" si="45"/>
        <v>8</v>
      </c>
      <c r="D114" s="1" t="str">
        <f t="shared" si="46"/>
        <v>15-20</v>
      </c>
      <c r="E114" s="1" t="str">
        <f t="shared" si="47"/>
        <v>¥15,8 + ¥0,0238/1 г</v>
      </c>
      <c r="F114" s="1" t="str">
        <f t="shared" si="48"/>
        <v>¥19,3 + ¥0,0238/1 г</v>
      </c>
      <c r="G114" s="1" t="str">
        <f t="shared" si="49"/>
        <v>Разрешено</v>
      </c>
      <c r="L114" s="1">
        <v>8</v>
      </c>
      <c r="M114" s="1" t="s">
        <v>399</v>
      </c>
      <c r="N114" s="1" t="s">
        <v>287</v>
      </c>
      <c r="O114" s="1" t="s">
        <v>309</v>
      </c>
      <c r="P114" s="1">
        <v>15.8</v>
      </c>
      <c r="Q114" s="1">
        <v>23.8</v>
      </c>
      <c r="R114" s="1" t="s">
        <v>384</v>
      </c>
      <c r="S114" s="1">
        <f t="shared" si="31"/>
        <v>15</v>
      </c>
      <c r="T114" s="1">
        <v>20</v>
      </c>
      <c r="U114" s="1" t="s">
        <v>388</v>
      </c>
    </row>
    <row r="115" spans="2:21">
      <c r="B115" s="1" t="str">
        <f t="shared" si="44"/>
        <v>ZTO Economy Small</v>
      </c>
      <c r="C115" s="2">
        <f t="shared" si="45"/>
        <v>9</v>
      </c>
      <c r="D115" s="1" t="str">
        <f t="shared" si="46"/>
        <v>15-20</v>
      </c>
      <c r="E115" s="1" t="str">
        <f t="shared" si="47"/>
        <v>¥16 + ¥0,025/1 г</v>
      </c>
      <c r="F115" s="1" t="str">
        <f t="shared" si="48"/>
        <v>¥19,5 + ¥0,025/1 г</v>
      </c>
      <c r="G115" s="1" t="str">
        <f t="shared" si="49"/>
        <v>Разрешено</v>
      </c>
      <c r="L115" s="1">
        <v>9</v>
      </c>
      <c r="M115" s="1" t="s">
        <v>393</v>
      </c>
      <c r="N115" s="1" t="s">
        <v>287</v>
      </c>
      <c r="O115" s="1" t="s">
        <v>309</v>
      </c>
      <c r="P115" s="1">
        <v>16</v>
      </c>
      <c r="Q115" s="1">
        <v>25</v>
      </c>
      <c r="R115" s="1" t="s">
        <v>384</v>
      </c>
      <c r="S115" s="1">
        <f t="shared" si="31"/>
        <v>15</v>
      </c>
      <c r="T115" s="1">
        <v>20</v>
      </c>
      <c r="U115" s="1" t="s">
        <v>277</v>
      </c>
    </row>
    <row r="116" spans="2:21">
      <c r="B116" s="1" t="str">
        <f t="shared" si="44"/>
        <v>UNI Economy Small</v>
      </c>
      <c r="C116" s="2">
        <f t="shared" si="45"/>
        <v>9</v>
      </c>
      <c r="D116" s="1" t="str">
        <f t="shared" si="46"/>
        <v>12-17</v>
      </c>
      <c r="E116" s="1" t="str">
        <f t="shared" si="47"/>
        <v>$2,16 + $0,00347/1 г</v>
      </c>
      <c r="F116" s="1" t="str">
        <f t="shared" si="48"/>
        <v>$2,65 + $0,00347/1 г</v>
      </c>
      <c r="G116" s="1" t="str">
        <f t="shared" si="49"/>
        <v>Разрешено</v>
      </c>
      <c r="L116" s="1">
        <v>9</v>
      </c>
      <c r="M116" s="1" t="s">
        <v>386</v>
      </c>
      <c r="N116" s="1" t="s">
        <v>287</v>
      </c>
      <c r="O116" s="1" t="s">
        <v>309</v>
      </c>
      <c r="P116" s="1">
        <v>2.16</v>
      </c>
      <c r="Q116" s="1">
        <v>3.47</v>
      </c>
      <c r="R116" s="1" t="s">
        <v>387</v>
      </c>
      <c r="S116" s="1">
        <f t="shared" si="31"/>
        <v>12</v>
      </c>
      <c r="T116" s="1">
        <v>17</v>
      </c>
      <c r="U116" s="1" t="s">
        <v>388</v>
      </c>
    </row>
    <row r="117" spans="2:21">
      <c r="B117" s="1" t="str">
        <f t="shared" si="44"/>
        <v>Tanais Economy Small</v>
      </c>
      <c r="C117" s="2">
        <f t="shared" si="45"/>
        <v>11</v>
      </c>
      <c r="D117" s="1" t="str">
        <f t="shared" si="46"/>
        <v>14-19</v>
      </c>
      <c r="E117" s="1" t="str">
        <f t="shared" si="47"/>
        <v>¥15,9 + ¥0,0245/1 г</v>
      </c>
      <c r="F117" s="1" t="str">
        <f t="shared" si="48"/>
        <v>¥19,4 + ¥0,0245/1 г</v>
      </c>
      <c r="G117" s="1" t="str">
        <f t="shared" si="49"/>
        <v>Разрешено</v>
      </c>
      <c r="L117" s="1">
        <v>11</v>
      </c>
      <c r="M117" s="1" t="s">
        <v>394</v>
      </c>
      <c r="N117" s="1" t="s">
        <v>287</v>
      </c>
      <c r="O117" s="1" t="s">
        <v>309</v>
      </c>
      <c r="P117" s="1">
        <v>15.9</v>
      </c>
      <c r="Q117" s="1">
        <v>24.5</v>
      </c>
      <c r="R117" s="1" t="s">
        <v>384</v>
      </c>
      <c r="S117" s="1">
        <f t="shared" si="31"/>
        <v>14</v>
      </c>
      <c r="T117" s="1">
        <v>19</v>
      </c>
      <c r="U117" s="1" t="s">
        <v>388</v>
      </c>
    </row>
    <row r="118" spans="2:21">
      <c r="B118" s="1" t="str">
        <f t="shared" si="44"/>
        <v>Ural Economy Small</v>
      </c>
      <c r="C118" s="2">
        <f t="shared" si="45"/>
        <v>12</v>
      </c>
      <c r="D118" s="1" t="str">
        <f t="shared" si="46"/>
        <v>15-20</v>
      </c>
      <c r="E118" s="1" t="str">
        <f t="shared" si="47"/>
        <v>¥16 + ¥0,025/1 г</v>
      </c>
      <c r="F118" s="1" t="str">
        <f t="shared" si="48"/>
        <v>¥19,5 + ¥0,025/1 г</v>
      </c>
      <c r="G118" s="1" t="str">
        <f t="shared" si="49"/>
        <v>Разрешено</v>
      </c>
      <c r="L118" s="1">
        <v>12</v>
      </c>
      <c r="M118" s="1" t="s">
        <v>396</v>
      </c>
      <c r="N118" s="1" t="s">
        <v>287</v>
      </c>
      <c r="O118" s="1" t="s">
        <v>309</v>
      </c>
      <c r="P118" s="1">
        <v>16</v>
      </c>
      <c r="Q118" s="1">
        <v>25</v>
      </c>
      <c r="R118" s="1" t="s">
        <v>384</v>
      </c>
      <c r="S118" s="1">
        <f t="shared" si="31"/>
        <v>15</v>
      </c>
      <c r="T118" s="1">
        <v>20</v>
      </c>
      <c r="U118" s="1" t="s">
        <v>277</v>
      </c>
    </row>
    <row r="119" spans="2:21">
      <c r="B119" s="1" t="str">
        <f t="shared" si="44"/>
        <v>IML Economy Small</v>
      </c>
      <c r="C119" s="2">
        <f t="shared" si="45"/>
        <v>13</v>
      </c>
      <c r="D119" s="1" t="str">
        <f t="shared" si="46"/>
        <v>14-19</v>
      </c>
      <c r="E119" s="1" t="str">
        <f t="shared" si="47"/>
        <v>¥15,95 + ¥0,025/1 г</v>
      </c>
      <c r="F119" s="1" t="str">
        <f t="shared" si="48"/>
        <v>¥19,45 + ¥0,025/1 г</v>
      </c>
      <c r="G119" s="1" t="str">
        <f t="shared" si="49"/>
        <v>Разрешено</v>
      </c>
      <c r="L119" s="1">
        <v>13</v>
      </c>
      <c r="M119" s="1" t="s">
        <v>395</v>
      </c>
      <c r="N119" s="1" t="s">
        <v>287</v>
      </c>
      <c r="O119" s="1" t="s">
        <v>309</v>
      </c>
      <c r="P119" s="1">
        <v>15.95</v>
      </c>
      <c r="Q119" s="1">
        <v>25</v>
      </c>
      <c r="R119" s="1" t="s">
        <v>384</v>
      </c>
      <c r="S119" s="1">
        <f t="shared" si="31"/>
        <v>14</v>
      </c>
      <c r="T119" s="1">
        <v>19</v>
      </c>
      <c r="U119" s="1" t="s">
        <v>277</v>
      </c>
    </row>
    <row r="120" spans="2:21">
      <c r="B120" s="1" t="str">
        <f t="shared" si="44"/>
        <v>GUOO Economy Small</v>
      </c>
      <c r="C120" s="2">
        <f t="shared" si="45"/>
        <v>14</v>
      </c>
      <c r="D120" s="1" t="str">
        <f t="shared" si="46"/>
        <v>15-20</v>
      </c>
      <c r="E120" s="1" t="str">
        <f t="shared" si="47"/>
        <v>¥16 + ¥0,025/1 г</v>
      </c>
      <c r="F120" s="1" t="str">
        <f t="shared" si="48"/>
        <v>¥19,5 + ¥0,025/1 г</v>
      </c>
      <c r="G120" s="1" t="str">
        <f t="shared" si="49"/>
        <v>Разрешено</v>
      </c>
      <c r="L120" s="1">
        <v>14</v>
      </c>
      <c r="M120" s="1" t="s">
        <v>397</v>
      </c>
      <c r="N120" s="1" t="s">
        <v>287</v>
      </c>
      <c r="O120" s="1" t="s">
        <v>309</v>
      </c>
      <c r="P120" s="1">
        <v>16</v>
      </c>
      <c r="Q120" s="1">
        <v>25</v>
      </c>
      <c r="R120" s="1" t="s">
        <v>384</v>
      </c>
      <c r="S120" s="1">
        <f t="shared" si="31"/>
        <v>15</v>
      </c>
      <c r="T120" s="1">
        <v>20</v>
      </c>
      <c r="U120" s="1" t="s">
        <v>277</v>
      </c>
    </row>
    <row r="121" spans="2:21">
      <c r="B121" s="1" t="str">
        <f t="shared" si="44"/>
        <v>TFS Economy Small</v>
      </c>
      <c r="C121" s="2">
        <f t="shared" si="45"/>
        <v>15</v>
      </c>
      <c r="D121" s="1" t="str">
        <f t="shared" si="46"/>
        <v>15-20</v>
      </c>
      <c r="E121" s="1" t="str">
        <f t="shared" si="47"/>
        <v>¥16 + ¥0,025/1 г</v>
      </c>
      <c r="F121" s="1" t="str">
        <f t="shared" si="48"/>
        <v>¥19,5 + ¥0,025/1 г</v>
      </c>
      <c r="G121" s="1" t="str">
        <f t="shared" si="49"/>
        <v>Разрешено</v>
      </c>
      <c r="L121" s="1">
        <v>15</v>
      </c>
      <c r="M121" s="1" t="s">
        <v>398</v>
      </c>
      <c r="N121" s="1" t="s">
        <v>287</v>
      </c>
      <c r="O121" s="1" t="s">
        <v>309</v>
      </c>
      <c r="P121" s="1">
        <v>16</v>
      </c>
      <c r="Q121" s="1">
        <v>25</v>
      </c>
      <c r="R121" s="1" t="s">
        <v>384</v>
      </c>
      <c r="S121" s="1">
        <f t="shared" si="31"/>
        <v>15</v>
      </c>
      <c r="T121" s="1">
        <v>20</v>
      </c>
      <c r="U121" s="1" t="s">
        <v>388</v>
      </c>
    </row>
    <row r="123" spans="2:21">
      <c r="B123" s="1" t="str">
        <f t="shared" ref="B123:B128" si="50">M123&amp;" "&amp;N123&amp;" "&amp;O123</f>
        <v>RETS Express Big</v>
      </c>
      <c r="C123" s="2">
        <f t="shared" ref="C123:C128" si="51">L123</f>
        <v>1</v>
      </c>
      <c r="D123" s="1" t="str">
        <f t="shared" ref="D123:D128" si="52">T123-5&amp;"-"&amp;T123</f>
        <v>3-8</v>
      </c>
      <c r="E123" s="1" t="str">
        <f t="shared" ref="E123:E128" si="53">IF(R123="CNY","¥"&amp;P123&amp;" + ¥"&amp;Q123/1000&amp;"/1 г",IF(R123="USD","$"&amp;P123&amp;" + $"&amp;Q123/1000&amp;"/1 г","Error"))</f>
        <v>¥35,9 + ¥0,033/1 г</v>
      </c>
      <c r="F123" s="1" t="str">
        <f t="shared" ref="F123:F128" si="54">IF(R123="CNY","¥"&amp;P123+3.5&amp;" + ¥"&amp;Q123/1000&amp;"/1 г",IF(R123="USD","$"&amp;P123+0.49&amp;" + $"&amp;Q123/1000&amp;"/1 г","Error"))</f>
        <v>¥39,4 + ¥0,033/1 г</v>
      </c>
      <c r="G123" s="1" t="str">
        <f t="shared" ref="G123:G128" si="55">IF(OR(U123="Разрешено",U123="允许"),"Разрешено",IF(OR(U123="Запрещено",U123="禁止"),"Запрещено","Error"))</f>
        <v>Запрещено</v>
      </c>
      <c r="L123" s="1">
        <v>1</v>
      </c>
      <c r="M123" s="1" t="s">
        <v>383</v>
      </c>
      <c r="N123" s="1" t="s">
        <v>261</v>
      </c>
      <c r="O123" s="1" t="s">
        <v>332</v>
      </c>
      <c r="P123" s="1">
        <v>35.9</v>
      </c>
      <c r="Q123" s="1">
        <v>33</v>
      </c>
      <c r="R123" s="1" t="s">
        <v>384</v>
      </c>
      <c r="S123" s="1">
        <f t="shared" si="31"/>
        <v>3</v>
      </c>
      <c r="T123" s="1">
        <v>8</v>
      </c>
      <c r="U123" s="1" t="s">
        <v>385</v>
      </c>
    </row>
    <row r="124" spans="2:21">
      <c r="B124" s="1" t="str">
        <f t="shared" si="50"/>
        <v>UNI Express Big</v>
      </c>
      <c r="C124" s="2">
        <f t="shared" si="51"/>
        <v>2</v>
      </c>
      <c r="D124" s="1" t="str">
        <f t="shared" si="52"/>
        <v>5-10</v>
      </c>
      <c r="E124" s="1" t="str">
        <f t="shared" si="53"/>
        <v>$4,82 + $0,00443/1 г</v>
      </c>
      <c r="F124" s="1" t="str">
        <f t="shared" si="54"/>
        <v>$5,31 + $0,00443/1 г</v>
      </c>
      <c r="G124" s="1" t="str">
        <f t="shared" si="55"/>
        <v>Разрешено</v>
      </c>
      <c r="L124" s="1">
        <v>2</v>
      </c>
      <c r="M124" s="1" t="s">
        <v>386</v>
      </c>
      <c r="N124" s="1" t="s">
        <v>261</v>
      </c>
      <c r="O124" s="1" t="s">
        <v>332</v>
      </c>
      <c r="P124" s="1">
        <v>4.82</v>
      </c>
      <c r="Q124" s="1">
        <v>4.43</v>
      </c>
      <c r="R124" s="1" t="s">
        <v>387</v>
      </c>
      <c r="S124" s="1">
        <f t="shared" si="31"/>
        <v>5</v>
      </c>
      <c r="T124" s="1">
        <v>10</v>
      </c>
      <c r="U124" s="1" t="s">
        <v>388</v>
      </c>
    </row>
    <row r="125" spans="2:21">
      <c r="B125" s="1" t="str">
        <f t="shared" si="50"/>
        <v>CEL Express Big</v>
      </c>
      <c r="C125" s="2">
        <f t="shared" si="51"/>
        <v>3</v>
      </c>
      <c r="D125" s="1" t="str">
        <f t="shared" si="52"/>
        <v>5-10</v>
      </c>
      <c r="E125" s="1" t="str">
        <f t="shared" si="53"/>
        <v>¥35,9 + ¥0,033/1 г</v>
      </c>
      <c r="F125" s="1" t="str">
        <f t="shared" si="54"/>
        <v>¥39,4 + ¥0,033/1 г</v>
      </c>
      <c r="G125" s="1" t="str">
        <f t="shared" si="55"/>
        <v>Запрещено</v>
      </c>
      <c r="L125" s="1">
        <v>3</v>
      </c>
      <c r="M125" s="1" t="s">
        <v>392</v>
      </c>
      <c r="N125" s="1" t="s">
        <v>261</v>
      </c>
      <c r="O125" s="1" t="s">
        <v>332</v>
      </c>
      <c r="P125" s="1">
        <v>35.9</v>
      </c>
      <c r="Q125" s="1">
        <v>33</v>
      </c>
      <c r="R125" s="1" t="s">
        <v>384</v>
      </c>
      <c r="S125" s="1">
        <f t="shared" si="31"/>
        <v>5</v>
      </c>
      <c r="T125" s="1">
        <v>10</v>
      </c>
      <c r="U125" s="1" t="s">
        <v>264</v>
      </c>
    </row>
    <row r="126" spans="2:21">
      <c r="B126" s="1" t="str">
        <f t="shared" si="50"/>
        <v>IML Express Big</v>
      </c>
      <c r="C126" s="2">
        <f t="shared" si="51"/>
        <v>4</v>
      </c>
      <c r="D126" s="1" t="str">
        <f t="shared" si="52"/>
        <v>3-8</v>
      </c>
      <c r="E126" s="1" t="str">
        <f t="shared" si="53"/>
        <v>¥35,95 + ¥0,033/1 г</v>
      </c>
      <c r="F126" s="1" t="str">
        <f t="shared" si="54"/>
        <v>¥39,45 + ¥0,033/1 г</v>
      </c>
      <c r="G126" s="1" t="str">
        <f t="shared" si="55"/>
        <v>Разрешено</v>
      </c>
      <c r="L126" s="1">
        <v>4</v>
      </c>
      <c r="M126" s="1" t="s">
        <v>395</v>
      </c>
      <c r="N126" s="1" t="s">
        <v>261</v>
      </c>
      <c r="O126" s="1" t="s">
        <v>332</v>
      </c>
      <c r="P126" s="1">
        <v>35.95</v>
      </c>
      <c r="Q126" s="1">
        <v>33</v>
      </c>
      <c r="R126" s="1" t="s">
        <v>384</v>
      </c>
      <c r="S126" s="1">
        <f t="shared" si="31"/>
        <v>3</v>
      </c>
      <c r="T126" s="1">
        <v>8</v>
      </c>
      <c r="U126" s="1" t="s">
        <v>277</v>
      </c>
    </row>
    <row r="127" spans="2:21">
      <c r="B127" s="1" t="str">
        <f t="shared" si="50"/>
        <v>Ural Express Big</v>
      </c>
      <c r="C127" s="2">
        <f t="shared" si="51"/>
        <v>5</v>
      </c>
      <c r="D127" s="1" t="str">
        <f t="shared" si="52"/>
        <v>5-10</v>
      </c>
      <c r="E127" s="1" t="str">
        <f t="shared" si="53"/>
        <v>¥36 + ¥0,033/1 г</v>
      </c>
      <c r="F127" s="1" t="str">
        <f t="shared" si="54"/>
        <v>¥39,5 + ¥0,033/1 г</v>
      </c>
      <c r="G127" s="1" t="str">
        <f t="shared" si="55"/>
        <v>Запрещено</v>
      </c>
      <c r="L127" s="1">
        <v>5</v>
      </c>
      <c r="M127" s="1" t="s">
        <v>396</v>
      </c>
      <c r="N127" s="1" t="s">
        <v>261</v>
      </c>
      <c r="O127" s="1" t="s">
        <v>332</v>
      </c>
      <c r="P127" s="1">
        <v>36</v>
      </c>
      <c r="Q127" s="1">
        <v>33</v>
      </c>
      <c r="R127" s="1" t="s">
        <v>384</v>
      </c>
      <c r="S127" s="1">
        <f t="shared" si="31"/>
        <v>5</v>
      </c>
      <c r="T127" s="1">
        <v>10</v>
      </c>
      <c r="U127" s="1" t="s">
        <v>264</v>
      </c>
    </row>
    <row r="128" spans="2:21">
      <c r="B128" s="1" t="str">
        <f t="shared" si="50"/>
        <v>TFS Express Big</v>
      </c>
      <c r="C128" s="2">
        <f t="shared" si="51"/>
        <v>6</v>
      </c>
      <c r="D128" s="1" t="str">
        <f t="shared" si="52"/>
        <v>5-10</v>
      </c>
      <c r="E128" s="1" t="str">
        <f t="shared" si="53"/>
        <v>¥36 + ¥0,033/1 г</v>
      </c>
      <c r="F128" s="1" t="str">
        <f t="shared" si="54"/>
        <v>¥39,5 + ¥0,033/1 г</v>
      </c>
      <c r="G128" s="1" t="str">
        <f t="shared" si="55"/>
        <v>Разрешено</v>
      </c>
      <c r="L128" s="1">
        <v>6</v>
      </c>
      <c r="M128" s="1" t="s">
        <v>398</v>
      </c>
      <c r="N128" s="1" t="s">
        <v>261</v>
      </c>
      <c r="O128" s="1" t="s">
        <v>332</v>
      </c>
      <c r="P128" s="1">
        <v>36</v>
      </c>
      <c r="Q128" s="1">
        <v>33</v>
      </c>
      <c r="R128" s="1" t="s">
        <v>384</v>
      </c>
      <c r="S128" s="1">
        <f t="shared" si="31"/>
        <v>5</v>
      </c>
      <c r="T128" s="1">
        <v>10</v>
      </c>
      <c r="U128" s="1" t="s">
        <v>388</v>
      </c>
    </row>
    <row r="130" spans="2:21">
      <c r="B130" s="1" t="str">
        <f t="shared" ref="B130:B140" si="56">M130&amp;" "&amp;N130&amp;" "&amp;O130</f>
        <v>ABT  Standard Big</v>
      </c>
      <c r="C130" s="2">
        <f t="shared" ref="C130:C140" si="57">L130</f>
        <v>1</v>
      </c>
      <c r="D130" s="1" t="str">
        <f t="shared" ref="D130:D140" si="58">T130-5&amp;"-"&amp;T130</f>
        <v>10-15</v>
      </c>
      <c r="E130" s="1" t="str">
        <f t="shared" ref="E130:E140" si="59">IF(R130="CNY","¥"&amp;P130&amp;" + ¥"&amp;Q130/1000&amp;"/1 г",IF(R130="USD","$"&amp;P130&amp;" + $"&amp;Q130/1000&amp;"/1 г","Error"))</f>
        <v>¥34 + ¥0,024/1 г</v>
      </c>
      <c r="F130" s="1" t="str">
        <f t="shared" ref="F130:F140" si="60">IF(R130="CNY","¥"&amp;P130+3.5&amp;" + ¥"&amp;Q130/1000&amp;"/1 г",IF(R130="USD","$"&amp;P130+0.49&amp;" + $"&amp;Q130/1000&amp;"/1 г","Error"))</f>
        <v>¥37,5 + ¥0,024/1 г</v>
      </c>
      <c r="G130" s="1" t="str">
        <f t="shared" ref="G130:G140" si="61">IF(OR(U130="Разрешено",U130="允许"),"Разрешено",IF(OR(U130="Запрещено",U130="禁止"),"Запрещено","Error"))</f>
        <v>Разрешено</v>
      </c>
      <c r="L130" s="1">
        <v>1</v>
      </c>
      <c r="M130" s="1" t="s">
        <v>389</v>
      </c>
      <c r="N130" s="1" t="s">
        <v>280</v>
      </c>
      <c r="O130" s="1" t="s">
        <v>332</v>
      </c>
      <c r="P130" s="1">
        <v>34</v>
      </c>
      <c r="Q130" s="1">
        <v>24</v>
      </c>
      <c r="R130" s="1" t="s">
        <v>384</v>
      </c>
      <c r="S130" s="1">
        <f t="shared" si="31"/>
        <v>10</v>
      </c>
      <c r="T130" s="1">
        <v>15</v>
      </c>
      <c r="U130" s="1" t="s">
        <v>277</v>
      </c>
    </row>
    <row r="131" spans="2:21">
      <c r="B131" s="1" t="str">
        <f t="shared" si="56"/>
        <v>UNI Standard Big</v>
      </c>
      <c r="C131" s="2">
        <f t="shared" si="57"/>
        <v>2</v>
      </c>
      <c r="D131" s="1" t="str">
        <f t="shared" si="58"/>
        <v>10-15</v>
      </c>
      <c r="E131" s="1" t="str">
        <f t="shared" si="59"/>
        <v>$4,83 + $0,00321/1 г</v>
      </c>
      <c r="F131" s="1" t="str">
        <f t="shared" si="60"/>
        <v>$5,32 + $0,00321/1 г</v>
      </c>
      <c r="G131" s="1" t="str">
        <f t="shared" si="61"/>
        <v>Разрешено</v>
      </c>
      <c r="L131" s="1">
        <v>2</v>
      </c>
      <c r="M131" s="1" t="s">
        <v>386</v>
      </c>
      <c r="N131" s="1" t="s">
        <v>280</v>
      </c>
      <c r="O131" s="1" t="s">
        <v>332</v>
      </c>
      <c r="P131" s="1">
        <v>4.83</v>
      </c>
      <c r="Q131" s="1">
        <v>3.21</v>
      </c>
      <c r="R131" s="1" t="s">
        <v>387</v>
      </c>
      <c r="S131" s="1">
        <f t="shared" si="31"/>
        <v>10</v>
      </c>
      <c r="T131" s="1">
        <v>15</v>
      </c>
      <c r="U131" s="1" t="s">
        <v>388</v>
      </c>
    </row>
    <row r="132" spans="2:21">
      <c r="B132" s="1" t="str">
        <f t="shared" si="56"/>
        <v>OYX  Standard Big</v>
      </c>
      <c r="C132" s="2">
        <f t="shared" si="57"/>
        <v>3</v>
      </c>
      <c r="D132" s="1" t="str">
        <f t="shared" si="58"/>
        <v>10-15</v>
      </c>
      <c r="E132" s="1" t="str">
        <f t="shared" si="59"/>
        <v>¥35 + ¥0,0238/1 г</v>
      </c>
      <c r="F132" s="1" t="str">
        <f t="shared" si="60"/>
        <v>¥38,5 + ¥0,0238/1 г</v>
      </c>
      <c r="G132" s="1" t="str">
        <f t="shared" si="61"/>
        <v>Разрешено</v>
      </c>
      <c r="L132" s="1">
        <v>3</v>
      </c>
      <c r="M132" s="1" t="s">
        <v>390</v>
      </c>
      <c r="N132" s="1" t="s">
        <v>280</v>
      </c>
      <c r="O132" s="1" t="s">
        <v>332</v>
      </c>
      <c r="P132" s="1">
        <v>35</v>
      </c>
      <c r="Q132" s="1">
        <v>23.8</v>
      </c>
      <c r="R132" s="1" t="s">
        <v>384</v>
      </c>
      <c r="S132" s="1">
        <f t="shared" ref="S132:S195" si="62">T132-5</f>
        <v>10</v>
      </c>
      <c r="T132" s="1">
        <v>15</v>
      </c>
      <c r="U132" s="1" t="s">
        <v>277</v>
      </c>
    </row>
    <row r="133" spans="2:21">
      <c r="B133" s="1" t="str">
        <f t="shared" si="56"/>
        <v>Xingyuan Standard Big</v>
      </c>
      <c r="C133" s="2">
        <f t="shared" si="57"/>
        <v>4</v>
      </c>
      <c r="D133" s="1" t="str">
        <f t="shared" si="58"/>
        <v>10-15</v>
      </c>
      <c r="E133" s="1" t="str">
        <f t="shared" si="59"/>
        <v>¥35 + ¥0,024/1 г</v>
      </c>
      <c r="F133" s="1" t="str">
        <f t="shared" si="60"/>
        <v>¥38,5 + ¥0,024/1 г</v>
      </c>
      <c r="G133" s="1" t="str">
        <f t="shared" si="61"/>
        <v>Разрешено</v>
      </c>
      <c r="L133" s="1">
        <v>4</v>
      </c>
      <c r="M133" s="1" t="s">
        <v>391</v>
      </c>
      <c r="N133" s="1" t="s">
        <v>280</v>
      </c>
      <c r="O133" s="1" t="s">
        <v>332</v>
      </c>
      <c r="P133" s="1">
        <v>35</v>
      </c>
      <c r="Q133" s="1">
        <v>24</v>
      </c>
      <c r="R133" s="1" t="s">
        <v>384</v>
      </c>
      <c r="S133" s="1">
        <f t="shared" si="62"/>
        <v>10</v>
      </c>
      <c r="T133" s="1">
        <v>15</v>
      </c>
      <c r="U133" s="1" t="s">
        <v>277</v>
      </c>
    </row>
    <row r="134" spans="2:21">
      <c r="B134" s="1" t="str">
        <f t="shared" si="56"/>
        <v>RETS Standard Big</v>
      </c>
      <c r="C134" s="2">
        <f t="shared" si="57"/>
        <v>5</v>
      </c>
      <c r="D134" s="1" t="str">
        <f t="shared" si="58"/>
        <v>7-12</v>
      </c>
      <c r="E134" s="1" t="str">
        <f t="shared" si="59"/>
        <v>¥35,9 + ¥0,024/1 г</v>
      </c>
      <c r="F134" s="1" t="str">
        <f t="shared" si="60"/>
        <v>¥39,4 + ¥0,024/1 г</v>
      </c>
      <c r="G134" s="1" t="str">
        <f t="shared" si="61"/>
        <v>Разрешено</v>
      </c>
      <c r="L134" s="1">
        <v>5</v>
      </c>
      <c r="M134" s="1" t="s">
        <v>383</v>
      </c>
      <c r="N134" s="1" t="s">
        <v>280</v>
      </c>
      <c r="O134" s="1" t="s">
        <v>332</v>
      </c>
      <c r="P134" s="1">
        <v>35.9</v>
      </c>
      <c r="Q134" s="1">
        <v>24</v>
      </c>
      <c r="R134" s="1" t="s">
        <v>384</v>
      </c>
      <c r="S134" s="1">
        <f t="shared" si="62"/>
        <v>7</v>
      </c>
      <c r="T134" s="1">
        <v>12</v>
      </c>
      <c r="U134" s="1" t="s">
        <v>388</v>
      </c>
    </row>
    <row r="135" spans="2:21">
      <c r="B135" s="1" t="str">
        <f t="shared" si="56"/>
        <v>CEL Standard Big</v>
      </c>
      <c r="C135" s="2">
        <f t="shared" si="57"/>
        <v>6</v>
      </c>
      <c r="D135" s="1" t="str">
        <f t="shared" si="58"/>
        <v>8-13</v>
      </c>
      <c r="E135" s="1" t="str">
        <f t="shared" si="59"/>
        <v>¥35,9 + ¥0,024/1 г</v>
      </c>
      <c r="F135" s="1" t="str">
        <f t="shared" si="60"/>
        <v>¥39,4 + ¥0,024/1 г</v>
      </c>
      <c r="G135" s="1" t="str">
        <f t="shared" si="61"/>
        <v>Разрешено</v>
      </c>
      <c r="L135" s="1">
        <v>6</v>
      </c>
      <c r="M135" s="1" t="s">
        <v>392</v>
      </c>
      <c r="N135" s="1" t="s">
        <v>280</v>
      </c>
      <c r="O135" s="1" t="s">
        <v>332</v>
      </c>
      <c r="P135" s="1">
        <v>35.9</v>
      </c>
      <c r="Q135" s="1">
        <v>24</v>
      </c>
      <c r="R135" s="1" t="s">
        <v>384</v>
      </c>
      <c r="S135" s="1">
        <f t="shared" si="62"/>
        <v>8</v>
      </c>
      <c r="T135" s="1">
        <v>13</v>
      </c>
      <c r="U135" s="1" t="s">
        <v>277</v>
      </c>
    </row>
    <row r="136" spans="2:21">
      <c r="B136" s="1" t="str">
        <f t="shared" si="56"/>
        <v>Tanais Standard Big</v>
      </c>
      <c r="C136" s="2">
        <f t="shared" si="57"/>
        <v>7</v>
      </c>
      <c r="D136" s="1" t="str">
        <f t="shared" si="58"/>
        <v>10-15</v>
      </c>
      <c r="E136" s="1" t="str">
        <f t="shared" si="59"/>
        <v>¥36 + ¥0,0249/1 г</v>
      </c>
      <c r="F136" s="1" t="str">
        <f t="shared" si="60"/>
        <v>¥39,5 + ¥0,0249/1 г</v>
      </c>
      <c r="G136" s="1" t="str">
        <f t="shared" si="61"/>
        <v>Разрешено</v>
      </c>
      <c r="L136" s="1">
        <v>7</v>
      </c>
      <c r="M136" s="1" t="s">
        <v>394</v>
      </c>
      <c r="N136" s="1" t="s">
        <v>280</v>
      </c>
      <c r="O136" s="1" t="s">
        <v>332</v>
      </c>
      <c r="P136" s="1">
        <v>36</v>
      </c>
      <c r="Q136" s="1">
        <v>24.9</v>
      </c>
      <c r="R136" s="1" t="s">
        <v>384</v>
      </c>
      <c r="S136" s="1">
        <f t="shared" si="62"/>
        <v>10</v>
      </c>
      <c r="T136" s="1">
        <v>15</v>
      </c>
      <c r="U136" s="1" t="s">
        <v>388</v>
      </c>
    </row>
    <row r="137" spans="2:21">
      <c r="B137" s="1" t="str">
        <f t="shared" si="56"/>
        <v>IML Standard Big</v>
      </c>
      <c r="C137" s="2">
        <f t="shared" si="57"/>
        <v>8</v>
      </c>
      <c r="D137" s="1" t="str">
        <f t="shared" si="58"/>
        <v>9-14</v>
      </c>
      <c r="E137" s="1" t="str">
        <f t="shared" si="59"/>
        <v>¥35,95 + ¥0,025/1 г</v>
      </c>
      <c r="F137" s="1" t="str">
        <f t="shared" si="60"/>
        <v>¥39,45 + ¥0,025/1 г</v>
      </c>
      <c r="G137" s="1" t="str">
        <f t="shared" si="61"/>
        <v>Разрешено</v>
      </c>
      <c r="L137" s="1">
        <v>8</v>
      </c>
      <c r="M137" s="1" t="s">
        <v>395</v>
      </c>
      <c r="N137" s="1" t="s">
        <v>280</v>
      </c>
      <c r="O137" s="1" t="s">
        <v>332</v>
      </c>
      <c r="P137" s="1">
        <v>35.95</v>
      </c>
      <c r="Q137" s="1">
        <v>25</v>
      </c>
      <c r="R137" s="1" t="s">
        <v>384</v>
      </c>
      <c r="S137" s="1">
        <f t="shared" si="62"/>
        <v>9</v>
      </c>
      <c r="T137" s="1">
        <v>14</v>
      </c>
      <c r="U137" s="1" t="s">
        <v>277</v>
      </c>
    </row>
    <row r="138" spans="2:21">
      <c r="B138" s="1" t="str">
        <f t="shared" si="56"/>
        <v>Ural Standard Big</v>
      </c>
      <c r="C138" s="2">
        <f t="shared" si="57"/>
        <v>9</v>
      </c>
      <c r="D138" s="1" t="str">
        <f t="shared" si="58"/>
        <v>10-15</v>
      </c>
      <c r="E138" s="1" t="str">
        <f t="shared" si="59"/>
        <v>¥36 + ¥0,025/1 г</v>
      </c>
      <c r="F138" s="1" t="str">
        <f t="shared" si="60"/>
        <v>¥39,5 + ¥0,025/1 г</v>
      </c>
      <c r="G138" s="1" t="str">
        <f t="shared" si="61"/>
        <v>Разрешено</v>
      </c>
      <c r="L138" s="1">
        <v>9</v>
      </c>
      <c r="M138" s="1" t="s">
        <v>396</v>
      </c>
      <c r="N138" s="1" t="s">
        <v>280</v>
      </c>
      <c r="O138" s="1" t="s">
        <v>332</v>
      </c>
      <c r="P138" s="1">
        <v>36</v>
      </c>
      <c r="Q138" s="1">
        <v>25</v>
      </c>
      <c r="R138" s="1" t="s">
        <v>384</v>
      </c>
      <c r="S138" s="1">
        <f t="shared" si="62"/>
        <v>10</v>
      </c>
      <c r="T138" s="1">
        <v>15</v>
      </c>
      <c r="U138" s="1" t="s">
        <v>277</v>
      </c>
    </row>
    <row r="139" spans="2:21">
      <c r="B139" s="1" t="str">
        <f t="shared" si="56"/>
        <v>ATC Standard Big</v>
      </c>
      <c r="C139" s="2">
        <f t="shared" si="57"/>
        <v>10</v>
      </c>
      <c r="D139" s="1" t="str">
        <f t="shared" si="58"/>
        <v>10-15</v>
      </c>
      <c r="E139" s="1" t="str">
        <f t="shared" si="59"/>
        <v>¥36 + ¥0,025/1 г</v>
      </c>
      <c r="F139" s="1" t="str">
        <f t="shared" si="60"/>
        <v>¥39,5 + ¥0,025/1 г</v>
      </c>
      <c r="G139" s="1" t="str">
        <f t="shared" si="61"/>
        <v>Разрешено</v>
      </c>
      <c r="L139" s="1">
        <v>10</v>
      </c>
      <c r="M139" s="1" t="s">
        <v>399</v>
      </c>
      <c r="N139" s="1" t="s">
        <v>280</v>
      </c>
      <c r="O139" s="1" t="s">
        <v>332</v>
      </c>
      <c r="P139" s="1">
        <v>36</v>
      </c>
      <c r="Q139" s="1">
        <v>25</v>
      </c>
      <c r="R139" s="1" t="s">
        <v>384</v>
      </c>
      <c r="S139" s="1">
        <f t="shared" si="62"/>
        <v>10</v>
      </c>
      <c r="T139" s="1">
        <v>15</v>
      </c>
      <c r="U139" s="1" t="s">
        <v>388</v>
      </c>
    </row>
    <row r="140" spans="2:21">
      <c r="B140" s="1" t="str">
        <f t="shared" si="56"/>
        <v>TFS Standard Big</v>
      </c>
      <c r="C140" s="2">
        <f t="shared" si="57"/>
        <v>11</v>
      </c>
      <c r="D140" s="1" t="str">
        <f t="shared" si="58"/>
        <v>10-15</v>
      </c>
      <c r="E140" s="1" t="str">
        <f t="shared" si="59"/>
        <v>¥36 + ¥0,025/1 г</v>
      </c>
      <c r="F140" s="1" t="str">
        <f t="shared" si="60"/>
        <v>¥39,5 + ¥0,025/1 г</v>
      </c>
      <c r="G140" s="1" t="str">
        <f t="shared" si="61"/>
        <v>Разрешено</v>
      </c>
      <c r="L140" s="1">
        <v>11</v>
      </c>
      <c r="M140" s="1" t="s">
        <v>398</v>
      </c>
      <c r="N140" s="1" t="s">
        <v>280</v>
      </c>
      <c r="O140" s="1" t="s">
        <v>332</v>
      </c>
      <c r="P140" s="1">
        <v>36</v>
      </c>
      <c r="Q140" s="1">
        <v>25</v>
      </c>
      <c r="R140" s="1" t="s">
        <v>384</v>
      </c>
      <c r="S140" s="1">
        <f t="shared" si="62"/>
        <v>10</v>
      </c>
      <c r="T140" s="1">
        <v>15</v>
      </c>
      <c r="U140" s="1" t="s">
        <v>388</v>
      </c>
    </row>
    <row r="142" spans="2:21">
      <c r="B142" s="1" t="str">
        <f t="shared" ref="B142:B149" si="63">M142&amp;" "&amp;N142&amp;" "&amp;O142</f>
        <v>RETS Economy Big</v>
      </c>
      <c r="C142" s="2">
        <f t="shared" ref="C142:C149" si="64">L142</f>
        <v>1</v>
      </c>
      <c r="D142" s="1" t="str">
        <f t="shared" ref="D142:D149" si="65">T142-5&amp;"-"&amp;T142</f>
        <v>12-17</v>
      </c>
      <c r="E142" s="1" t="str">
        <f t="shared" ref="E142:E149" si="66">IF(R142="CNY","¥"&amp;P142&amp;" + ¥"&amp;Q142/1000&amp;"/1 г",IF(R142="USD","$"&amp;P142&amp;" + $"&amp;Q142/1000&amp;"/1 г","Error"))</f>
        <v>¥35,9 + ¥0,017/1 г</v>
      </c>
      <c r="F142" s="1" t="str">
        <f t="shared" ref="F142:F149" si="67">IF(R142="CNY","¥"&amp;P142+3.5&amp;" + ¥"&amp;Q142/1000&amp;"/1 г",IF(R142="USD","$"&amp;P142+0.49&amp;" + $"&amp;Q142/1000&amp;"/1 г","Error"))</f>
        <v>¥39,4 + ¥0,017/1 г</v>
      </c>
      <c r="G142" s="1" t="str">
        <f t="shared" ref="G142:G149" si="68">IF(OR(U142="Разрешено",U142="允许"),"Разрешено",IF(OR(U142="Запрещено",U142="禁止"),"Запрещено","Error"))</f>
        <v>Разрешено</v>
      </c>
      <c r="L142" s="1">
        <v>1</v>
      </c>
      <c r="M142" s="1" t="s">
        <v>383</v>
      </c>
      <c r="N142" s="1" t="s">
        <v>287</v>
      </c>
      <c r="O142" s="1" t="s">
        <v>332</v>
      </c>
      <c r="P142" s="1">
        <v>35.9</v>
      </c>
      <c r="Q142" s="1">
        <v>17</v>
      </c>
      <c r="R142" s="1" t="s">
        <v>384</v>
      </c>
      <c r="S142" s="1">
        <f t="shared" si="62"/>
        <v>12</v>
      </c>
      <c r="T142" s="1">
        <v>17</v>
      </c>
      <c r="U142" s="1" t="s">
        <v>388</v>
      </c>
    </row>
    <row r="143" spans="2:21">
      <c r="B143" s="1" t="str">
        <f t="shared" si="63"/>
        <v>UNI Economy Big</v>
      </c>
      <c r="C143" s="2">
        <f t="shared" si="64"/>
        <v>2</v>
      </c>
      <c r="D143" s="1" t="str">
        <f t="shared" si="65"/>
        <v>20-25</v>
      </c>
      <c r="E143" s="1" t="str">
        <f t="shared" si="66"/>
        <v>$4,95 + $0,00234/1 г</v>
      </c>
      <c r="F143" s="1" t="str">
        <f t="shared" si="67"/>
        <v>$5,44 + $0,00234/1 г</v>
      </c>
      <c r="G143" s="1" t="str">
        <f t="shared" si="68"/>
        <v>Разрешено</v>
      </c>
      <c r="L143" s="1">
        <v>2</v>
      </c>
      <c r="M143" s="1" t="s">
        <v>386</v>
      </c>
      <c r="N143" s="1" t="s">
        <v>287</v>
      </c>
      <c r="O143" s="1" t="s">
        <v>332</v>
      </c>
      <c r="P143" s="1">
        <v>4.95</v>
      </c>
      <c r="Q143" s="1">
        <v>2.34</v>
      </c>
      <c r="R143" s="1" t="s">
        <v>387</v>
      </c>
      <c r="S143" s="1">
        <f t="shared" si="62"/>
        <v>20</v>
      </c>
      <c r="T143" s="1">
        <v>25</v>
      </c>
      <c r="U143" s="1" t="s">
        <v>388</v>
      </c>
    </row>
    <row r="144" spans="2:21">
      <c r="B144" s="1" t="str">
        <f t="shared" si="63"/>
        <v>CEL Economy Big</v>
      </c>
      <c r="C144" s="2">
        <f t="shared" si="64"/>
        <v>3</v>
      </c>
      <c r="D144" s="1" t="str">
        <f t="shared" si="65"/>
        <v>15-20</v>
      </c>
      <c r="E144" s="1" t="str">
        <f t="shared" si="66"/>
        <v>¥35,9 + ¥0,017/1 г</v>
      </c>
      <c r="F144" s="1" t="str">
        <f t="shared" si="67"/>
        <v>¥39,4 + ¥0,017/1 г</v>
      </c>
      <c r="G144" s="1" t="str">
        <f t="shared" si="68"/>
        <v>Разрешено</v>
      </c>
      <c r="L144" s="1">
        <v>3</v>
      </c>
      <c r="M144" s="1" t="s">
        <v>392</v>
      </c>
      <c r="N144" s="1" t="s">
        <v>287</v>
      </c>
      <c r="O144" s="1" t="s">
        <v>332</v>
      </c>
      <c r="P144" s="1">
        <v>35.9</v>
      </c>
      <c r="Q144" s="1">
        <v>17</v>
      </c>
      <c r="R144" s="1" t="s">
        <v>384</v>
      </c>
      <c r="S144" s="1">
        <f t="shared" si="62"/>
        <v>15</v>
      </c>
      <c r="T144" s="1">
        <v>20</v>
      </c>
      <c r="U144" s="1" t="s">
        <v>277</v>
      </c>
    </row>
    <row r="145" spans="2:21">
      <c r="B145" s="1" t="str">
        <f t="shared" si="63"/>
        <v>IML Economy Big</v>
      </c>
      <c r="C145" s="2">
        <f t="shared" si="64"/>
        <v>4</v>
      </c>
      <c r="D145" s="1" t="str">
        <f t="shared" si="65"/>
        <v>14-19</v>
      </c>
      <c r="E145" s="1" t="str">
        <f t="shared" si="66"/>
        <v>¥35,95 + ¥0,017/1 г</v>
      </c>
      <c r="F145" s="1" t="str">
        <f t="shared" si="67"/>
        <v>¥39,45 + ¥0,017/1 г</v>
      </c>
      <c r="G145" s="1" t="str">
        <f t="shared" si="68"/>
        <v>Разрешено</v>
      </c>
      <c r="L145" s="1">
        <v>4</v>
      </c>
      <c r="M145" s="1" t="s">
        <v>395</v>
      </c>
      <c r="N145" s="1" t="s">
        <v>287</v>
      </c>
      <c r="O145" s="1" t="s">
        <v>332</v>
      </c>
      <c r="P145" s="1">
        <v>35.95</v>
      </c>
      <c r="Q145" s="1">
        <v>17</v>
      </c>
      <c r="R145" s="1" t="s">
        <v>384</v>
      </c>
      <c r="S145" s="1">
        <f t="shared" si="62"/>
        <v>14</v>
      </c>
      <c r="T145" s="1">
        <v>19</v>
      </c>
      <c r="U145" s="1" t="s">
        <v>277</v>
      </c>
    </row>
    <row r="146" spans="2:21">
      <c r="B146" s="1" t="str">
        <f t="shared" si="63"/>
        <v>Tanais Economy Big</v>
      </c>
      <c r="C146" s="2">
        <f t="shared" si="64"/>
        <v>4</v>
      </c>
      <c r="D146" s="1" t="str">
        <f t="shared" si="65"/>
        <v>17-22</v>
      </c>
      <c r="E146" s="1" t="str">
        <f t="shared" si="66"/>
        <v>¥36 + ¥0,0169/1 г</v>
      </c>
      <c r="F146" s="1" t="str">
        <f t="shared" si="67"/>
        <v>¥39,5 + ¥0,0169/1 г</v>
      </c>
      <c r="G146" s="1" t="str">
        <f t="shared" si="68"/>
        <v>Разрешено</v>
      </c>
      <c r="L146" s="1">
        <v>4</v>
      </c>
      <c r="M146" s="1" t="s">
        <v>394</v>
      </c>
      <c r="N146" s="1" t="s">
        <v>287</v>
      </c>
      <c r="O146" s="1" t="s">
        <v>332</v>
      </c>
      <c r="P146" s="1">
        <v>36</v>
      </c>
      <c r="Q146" s="1">
        <v>16.9</v>
      </c>
      <c r="R146" s="1" t="s">
        <v>384</v>
      </c>
      <c r="S146" s="1">
        <f t="shared" si="62"/>
        <v>17</v>
      </c>
      <c r="T146" s="1">
        <v>22</v>
      </c>
      <c r="U146" s="1" t="s">
        <v>388</v>
      </c>
    </row>
    <row r="147" spans="2:21">
      <c r="B147" s="1" t="str">
        <f t="shared" si="63"/>
        <v>GUOO Economy Big</v>
      </c>
      <c r="C147" s="2">
        <f t="shared" si="64"/>
        <v>6</v>
      </c>
      <c r="D147" s="1" t="str">
        <f t="shared" si="65"/>
        <v>15-20</v>
      </c>
      <c r="E147" s="1" t="str">
        <f t="shared" si="66"/>
        <v>¥36 + ¥0,017/1 г</v>
      </c>
      <c r="F147" s="1" t="str">
        <f t="shared" si="67"/>
        <v>¥39,5 + ¥0,017/1 г</v>
      </c>
      <c r="G147" s="1" t="str">
        <f t="shared" si="68"/>
        <v>Разрешено</v>
      </c>
      <c r="L147" s="1">
        <v>6</v>
      </c>
      <c r="M147" s="1" t="s">
        <v>397</v>
      </c>
      <c r="N147" s="1" t="s">
        <v>287</v>
      </c>
      <c r="O147" s="1" t="s">
        <v>332</v>
      </c>
      <c r="P147" s="1">
        <v>36</v>
      </c>
      <c r="Q147" s="1">
        <v>17</v>
      </c>
      <c r="R147" s="1" t="s">
        <v>384</v>
      </c>
      <c r="S147" s="1">
        <f t="shared" si="62"/>
        <v>15</v>
      </c>
      <c r="T147" s="1">
        <v>20</v>
      </c>
      <c r="U147" s="1" t="s">
        <v>277</v>
      </c>
    </row>
    <row r="148" spans="2:21">
      <c r="B148" s="1" t="str">
        <f t="shared" si="63"/>
        <v>ATC Economy Big</v>
      </c>
      <c r="C148" s="2">
        <f t="shared" si="64"/>
        <v>7</v>
      </c>
      <c r="D148" s="1" t="str">
        <f t="shared" si="65"/>
        <v>20-25</v>
      </c>
      <c r="E148" s="1" t="str">
        <f t="shared" si="66"/>
        <v>¥36 + ¥0,017/1 г</v>
      </c>
      <c r="F148" s="1" t="str">
        <f t="shared" si="67"/>
        <v>¥39,5 + ¥0,017/1 г</v>
      </c>
      <c r="G148" s="1" t="str">
        <f t="shared" si="68"/>
        <v>Разрешено</v>
      </c>
      <c r="L148" s="1">
        <v>7</v>
      </c>
      <c r="M148" s="1" t="s">
        <v>399</v>
      </c>
      <c r="N148" s="1" t="s">
        <v>287</v>
      </c>
      <c r="O148" s="1" t="s">
        <v>332</v>
      </c>
      <c r="P148" s="1">
        <v>36</v>
      </c>
      <c r="Q148" s="1">
        <v>17</v>
      </c>
      <c r="R148" s="1" t="s">
        <v>384</v>
      </c>
      <c r="S148" s="1">
        <f t="shared" si="62"/>
        <v>20</v>
      </c>
      <c r="T148" s="1">
        <v>25</v>
      </c>
      <c r="U148" s="1" t="s">
        <v>388</v>
      </c>
    </row>
    <row r="149" spans="2:21">
      <c r="B149" s="1" t="str">
        <f t="shared" si="63"/>
        <v>TFS Economy Big</v>
      </c>
      <c r="C149" s="2">
        <f t="shared" si="64"/>
        <v>8</v>
      </c>
      <c r="D149" s="1" t="str">
        <f t="shared" si="65"/>
        <v>15-20</v>
      </c>
      <c r="E149" s="1" t="str">
        <f t="shared" si="66"/>
        <v>¥36 + ¥0,017/1 г</v>
      </c>
      <c r="F149" s="1" t="str">
        <f t="shared" si="67"/>
        <v>¥39,5 + ¥0,017/1 г</v>
      </c>
      <c r="G149" s="1" t="str">
        <f t="shared" si="68"/>
        <v>Разрешено</v>
      </c>
      <c r="L149" s="1">
        <v>8</v>
      </c>
      <c r="M149" s="1" t="s">
        <v>398</v>
      </c>
      <c r="N149" s="1" t="s">
        <v>287</v>
      </c>
      <c r="O149" s="1" t="s">
        <v>332</v>
      </c>
      <c r="P149" s="1">
        <v>36</v>
      </c>
      <c r="Q149" s="1">
        <v>17</v>
      </c>
      <c r="R149" s="1" t="s">
        <v>384</v>
      </c>
      <c r="S149" s="1">
        <f t="shared" si="62"/>
        <v>15</v>
      </c>
      <c r="T149" s="1">
        <v>20</v>
      </c>
      <c r="U149" s="1" t="s">
        <v>388</v>
      </c>
    </row>
    <row r="151" spans="2:21">
      <c r="B151" s="1" t="str">
        <f t="shared" ref="B151:B160" si="69">M151&amp;" "&amp;N151&amp;" "&amp;O151</f>
        <v>RETS Express Premium Small</v>
      </c>
      <c r="C151" s="2">
        <f t="shared" ref="C151:C160" si="70">L151</f>
        <v>1</v>
      </c>
      <c r="D151" s="1" t="str">
        <f t="shared" ref="D151:D160" si="71">T151-5&amp;"-"&amp;T151</f>
        <v>3-8</v>
      </c>
      <c r="E151" s="1" t="str">
        <f t="shared" ref="E151:E160" si="72">IF(R151="CNY","¥"&amp;P151&amp;" + ¥"&amp;Q151/1000&amp;"/1 г",IF(R151="USD","$"&amp;P151&amp;" + $"&amp;Q151/1000&amp;"/1 г","Error"))</f>
        <v>¥22 + ¥0,041/1 г</v>
      </c>
      <c r="F151" s="1" t="str">
        <f t="shared" ref="F151:F160" si="73">IF(R151="CNY","¥"&amp;P151+3.5&amp;" + ¥"&amp;Q151/1000&amp;"/1 г",IF(R151="USD","$"&amp;P151+0.49&amp;" + $"&amp;Q151/1000&amp;"/1 г","Error"))</f>
        <v>¥25,5 + ¥0,041/1 г</v>
      </c>
      <c r="G151" s="1" t="str">
        <f t="shared" ref="G151:G160" si="74">IF(OR(U151="Разрешено",U151="允许"),"Разрешено",IF(OR(U151="Запрещено",U151="禁止"),"Запрещено","Error"))</f>
        <v>Запрещено</v>
      </c>
      <c r="L151" s="1">
        <v>1</v>
      </c>
      <c r="M151" s="1" t="s">
        <v>383</v>
      </c>
      <c r="N151" s="1" t="s">
        <v>261</v>
      </c>
      <c r="O151" s="1" t="s">
        <v>345</v>
      </c>
      <c r="P151" s="1">
        <v>22</v>
      </c>
      <c r="Q151" s="1">
        <v>41</v>
      </c>
      <c r="R151" s="1" t="s">
        <v>384</v>
      </c>
      <c r="S151" s="1">
        <f t="shared" si="62"/>
        <v>3</v>
      </c>
      <c r="T151" s="1">
        <v>8</v>
      </c>
      <c r="U151" s="1" t="s">
        <v>385</v>
      </c>
    </row>
    <row r="152" spans="2:21">
      <c r="B152" s="1" t="str">
        <f t="shared" si="69"/>
        <v>CEL Express Premium Small</v>
      </c>
      <c r="C152" s="2">
        <f t="shared" si="70"/>
        <v>2</v>
      </c>
      <c r="D152" s="1" t="str">
        <f t="shared" si="71"/>
        <v>5-10</v>
      </c>
      <c r="E152" s="1" t="str">
        <f t="shared" si="72"/>
        <v>¥20 + ¥0,04/1 г</v>
      </c>
      <c r="F152" s="1" t="str">
        <f t="shared" si="73"/>
        <v>¥23,5 + ¥0,04/1 г</v>
      </c>
      <c r="G152" s="1" t="str">
        <f t="shared" si="74"/>
        <v>Запрещено</v>
      </c>
      <c r="L152" s="1">
        <v>2</v>
      </c>
      <c r="M152" s="1" t="s">
        <v>392</v>
      </c>
      <c r="N152" s="1" t="s">
        <v>261</v>
      </c>
      <c r="O152" s="1" t="s">
        <v>345</v>
      </c>
      <c r="P152" s="1">
        <v>20</v>
      </c>
      <c r="Q152" s="1">
        <v>40</v>
      </c>
      <c r="R152" s="1" t="s">
        <v>384</v>
      </c>
      <c r="S152" s="1">
        <f t="shared" si="62"/>
        <v>5</v>
      </c>
      <c r="T152" s="1">
        <v>10</v>
      </c>
      <c r="U152" s="1" t="s">
        <v>264</v>
      </c>
    </row>
    <row r="153" spans="2:21">
      <c r="B153" s="1" t="str">
        <f t="shared" si="69"/>
        <v>UNI Express Premium Small</v>
      </c>
      <c r="C153" s="2">
        <f t="shared" si="70"/>
        <v>3</v>
      </c>
      <c r="D153" s="1" t="str">
        <f t="shared" si="71"/>
        <v>5-10</v>
      </c>
      <c r="E153" s="1" t="str">
        <f t="shared" si="72"/>
        <v>$2,95 + $0,0055/1 г</v>
      </c>
      <c r="F153" s="1" t="str">
        <f t="shared" si="73"/>
        <v>$3,44 + $0,0055/1 г</v>
      </c>
      <c r="G153" s="1" t="str">
        <f t="shared" si="74"/>
        <v>Разрешено</v>
      </c>
      <c r="L153" s="1">
        <v>3</v>
      </c>
      <c r="M153" s="1" t="s">
        <v>386</v>
      </c>
      <c r="N153" s="1" t="s">
        <v>261</v>
      </c>
      <c r="O153" s="1" t="s">
        <v>345</v>
      </c>
      <c r="P153" s="1">
        <v>2.95</v>
      </c>
      <c r="Q153" s="1">
        <v>5.5</v>
      </c>
      <c r="R153" s="1" t="s">
        <v>387</v>
      </c>
      <c r="S153" s="1">
        <f t="shared" si="62"/>
        <v>5</v>
      </c>
      <c r="T153" s="1">
        <v>10</v>
      </c>
      <c r="U153" s="1" t="s">
        <v>388</v>
      </c>
    </row>
    <row r="154" spans="2:21">
      <c r="B154" s="1" t="str">
        <f t="shared" si="69"/>
        <v>GBS Express Premium Small</v>
      </c>
      <c r="C154" s="2">
        <f t="shared" si="70"/>
        <v>4</v>
      </c>
      <c r="D154" s="1" t="str">
        <f t="shared" si="71"/>
        <v>5-10</v>
      </c>
      <c r="E154" s="1" t="str">
        <f t="shared" si="72"/>
        <v>¥22 + ¥0,04275/1 г</v>
      </c>
      <c r="F154" s="1" t="str">
        <f t="shared" si="73"/>
        <v>¥25,5 + ¥0,04275/1 г</v>
      </c>
      <c r="G154" s="1" t="str">
        <f t="shared" si="74"/>
        <v>Запрещено</v>
      </c>
      <c r="L154" s="1">
        <v>4</v>
      </c>
      <c r="M154" s="1" t="s">
        <v>402</v>
      </c>
      <c r="N154" s="1" t="s">
        <v>261</v>
      </c>
      <c r="O154" s="1" t="s">
        <v>345</v>
      </c>
      <c r="P154" s="1">
        <v>22</v>
      </c>
      <c r="Q154" s="1">
        <v>42.75</v>
      </c>
      <c r="R154" s="1" t="s">
        <v>384</v>
      </c>
      <c r="S154" s="1">
        <f t="shared" si="62"/>
        <v>5</v>
      </c>
      <c r="T154" s="1">
        <v>10</v>
      </c>
      <c r="U154" s="1" t="s">
        <v>385</v>
      </c>
    </row>
    <row r="155" spans="2:21">
      <c r="B155" s="1" t="str">
        <f t="shared" si="69"/>
        <v>ZTO Express Premium Small</v>
      </c>
      <c r="C155" s="2">
        <f t="shared" si="70"/>
        <v>5</v>
      </c>
      <c r="D155" s="1" t="str">
        <f t="shared" si="71"/>
        <v>5-10</v>
      </c>
      <c r="E155" s="1" t="str">
        <f t="shared" si="72"/>
        <v>¥22 + ¥0,045/1 г</v>
      </c>
      <c r="F155" s="1" t="str">
        <f t="shared" si="73"/>
        <v>¥25,5 + ¥0,045/1 г</v>
      </c>
      <c r="G155" s="1" t="str">
        <f t="shared" si="74"/>
        <v>Запрещено</v>
      </c>
      <c r="L155" s="1">
        <v>5</v>
      </c>
      <c r="M155" s="1" t="s">
        <v>393</v>
      </c>
      <c r="N155" s="1" t="s">
        <v>261</v>
      </c>
      <c r="O155" s="1" t="s">
        <v>345</v>
      </c>
      <c r="P155" s="1">
        <v>22</v>
      </c>
      <c r="Q155" s="1">
        <v>45</v>
      </c>
      <c r="R155" s="1" t="s">
        <v>384</v>
      </c>
      <c r="S155" s="1">
        <f t="shared" si="62"/>
        <v>5</v>
      </c>
      <c r="T155" s="1">
        <v>10</v>
      </c>
      <c r="U155" s="1" t="s">
        <v>264</v>
      </c>
    </row>
    <row r="156" spans="2:21">
      <c r="B156" s="1" t="str">
        <f t="shared" si="69"/>
        <v>IML Express Premium Small</v>
      </c>
      <c r="C156" s="2">
        <f t="shared" si="70"/>
        <v>6</v>
      </c>
      <c r="D156" s="1" t="str">
        <f t="shared" si="71"/>
        <v>3-8</v>
      </c>
      <c r="E156" s="1" t="str">
        <f t="shared" si="72"/>
        <v>¥21,95 + ¥0,045/1 г</v>
      </c>
      <c r="F156" s="1" t="str">
        <f t="shared" si="73"/>
        <v>¥25,45 + ¥0,045/1 г</v>
      </c>
      <c r="G156" s="1" t="str">
        <f t="shared" si="74"/>
        <v>Разрешено</v>
      </c>
      <c r="L156" s="1">
        <v>6</v>
      </c>
      <c r="M156" s="1" t="s">
        <v>395</v>
      </c>
      <c r="N156" s="1" t="s">
        <v>261</v>
      </c>
      <c r="O156" s="1" t="s">
        <v>345</v>
      </c>
      <c r="P156" s="1">
        <v>21.95</v>
      </c>
      <c r="Q156" s="1">
        <v>45</v>
      </c>
      <c r="R156" s="1" t="s">
        <v>384</v>
      </c>
      <c r="S156" s="1">
        <f t="shared" si="62"/>
        <v>3</v>
      </c>
      <c r="T156" s="1">
        <v>8</v>
      </c>
      <c r="U156" s="1" t="s">
        <v>277</v>
      </c>
    </row>
    <row r="157" spans="2:21">
      <c r="B157" s="1" t="str">
        <f t="shared" si="69"/>
        <v>Ural Express Premium Small</v>
      </c>
      <c r="C157" s="2">
        <f t="shared" si="70"/>
        <v>7</v>
      </c>
      <c r="D157" s="1" t="str">
        <f t="shared" si="71"/>
        <v>5-10</v>
      </c>
      <c r="E157" s="1" t="str">
        <f t="shared" si="72"/>
        <v>¥22 + ¥0,045/1 г</v>
      </c>
      <c r="F157" s="1" t="str">
        <f t="shared" si="73"/>
        <v>¥25,5 + ¥0,045/1 г</v>
      </c>
      <c r="G157" s="1" t="str">
        <f t="shared" si="74"/>
        <v>Запрещено</v>
      </c>
      <c r="L157" s="1">
        <v>7</v>
      </c>
      <c r="M157" s="1" t="s">
        <v>396</v>
      </c>
      <c r="N157" s="1" t="s">
        <v>261</v>
      </c>
      <c r="O157" s="1" t="s">
        <v>345</v>
      </c>
      <c r="P157" s="1">
        <v>22</v>
      </c>
      <c r="Q157" s="1">
        <v>45</v>
      </c>
      <c r="R157" s="1" t="s">
        <v>384</v>
      </c>
      <c r="S157" s="1">
        <f t="shared" si="62"/>
        <v>5</v>
      </c>
      <c r="T157" s="1">
        <v>10</v>
      </c>
      <c r="U157" s="1" t="s">
        <v>264</v>
      </c>
    </row>
    <row r="158" spans="2:21">
      <c r="B158" s="1" t="str">
        <f t="shared" si="69"/>
        <v>GUOO Express Premium Small</v>
      </c>
      <c r="C158" s="2">
        <f t="shared" si="70"/>
        <v>8</v>
      </c>
      <c r="D158" s="1" t="str">
        <f t="shared" si="71"/>
        <v>5-10</v>
      </c>
      <c r="E158" s="1" t="str">
        <f t="shared" si="72"/>
        <v>¥22 + ¥0,045/1 г</v>
      </c>
      <c r="F158" s="1" t="str">
        <f t="shared" si="73"/>
        <v>¥25,5 + ¥0,045/1 г</v>
      </c>
      <c r="G158" s="1" t="str">
        <f t="shared" si="74"/>
        <v>Запрещено</v>
      </c>
      <c r="L158" s="1">
        <v>8</v>
      </c>
      <c r="M158" s="1" t="s">
        <v>397</v>
      </c>
      <c r="N158" s="1" t="s">
        <v>261</v>
      </c>
      <c r="O158" s="1" t="s">
        <v>345</v>
      </c>
      <c r="P158" s="1">
        <v>22</v>
      </c>
      <c r="Q158" s="1">
        <v>45</v>
      </c>
      <c r="R158" s="1" t="s">
        <v>384</v>
      </c>
      <c r="S158" s="1">
        <f t="shared" si="62"/>
        <v>5</v>
      </c>
      <c r="T158" s="1">
        <v>10</v>
      </c>
      <c r="U158" s="1" t="s">
        <v>264</v>
      </c>
    </row>
    <row r="159" spans="2:21">
      <c r="B159" s="1" t="str">
        <f t="shared" si="69"/>
        <v>TFS Express Premium Small</v>
      </c>
      <c r="C159" s="2">
        <f t="shared" si="70"/>
        <v>9</v>
      </c>
      <c r="D159" s="1" t="str">
        <f t="shared" si="71"/>
        <v>5-10</v>
      </c>
      <c r="E159" s="1" t="str">
        <f t="shared" si="72"/>
        <v>¥22 + ¥0,045/1 г</v>
      </c>
      <c r="F159" s="1" t="str">
        <f t="shared" si="73"/>
        <v>¥25,5 + ¥0,045/1 г</v>
      </c>
      <c r="G159" s="1" t="str">
        <f t="shared" si="74"/>
        <v>Разрешено</v>
      </c>
      <c r="L159" s="1">
        <v>9</v>
      </c>
      <c r="M159" s="1" t="s">
        <v>398</v>
      </c>
      <c r="N159" s="1" t="s">
        <v>261</v>
      </c>
      <c r="O159" s="1" t="s">
        <v>345</v>
      </c>
      <c r="P159" s="1">
        <v>22</v>
      </c>
      <c r="Q159" s="1">
        <v>45</v>
      </c>
      <c r="R159" s="1" t="s">
        <v>384</v>
      </c>
      <c r="S159" s="1">
        <f t="shared" si="62"/>
        <v>5</v>
      </c>
      <c r="T159" s="1">
        <v>10</v>
      </c>
      <c r="U159" s="1" t="s">
        <v>388</v>
      </c>
    </row>
    <row r="160" spans="2:21">
      <c r="B160" s="1" t="str">
        <f t="shared" si="69"/>
        <v>ETS Express Premium Small</v>
      </c>
      <c r="C160" s="2">
        <f t="shared" si="70"/>
        <v>10</v>
      </c>
      <c r="D160" s="1" t="str">
        <f t="shared" si="71"/>
        <v>5-10</v>
      </c>
      <c r="E160" s="1" t="str">
        <f t="shared" si="72"/>
        <v>$3,06 + $0,00625/1 г</v>
      </c>
      <c r="F160" s="1" t="str">
        <f t="shared" si="73"/>
        <v>$3,55 + $0,00625/1 г</v>
      </c>
      <c r="G160" s="1" t="str">
        <f t="shared" si="74"/>
        <v>Разрешено</v>
      </c>
      <c r="L160" s="1">
        <v>10</v>
      </c>
      <c r="M160" s="1" t="s">
        <v>403</v>
      </c>
      <c r="N160" s="1" t="s">
        <v>261</v>
      </c>
      <c r="O160" s="1" t="s">
        <v>345</v>
      </c>
      <c r="P160" s="1">
        <v>3.06</v>
      </c>
      <c r="Q160" s="1">
        <v>6.25</v>
      </c>
      <c r="R160" s="1" t="s">
        <v>387</v>
      </c>
      <c r="S160" s="1">
        <f t="shared" si="62"/>
        <v>5</v>
      </c>
      <c r="T160" s="1">
        <v>10</v>
      </c>
      <c r="U160" s="1" t="s">
        <v>388</v>
      </c>
    </row>
    <row r="162" spans="2:21">
      <c r="B162" s="1" t="str">
        <f t="shared" ref="B162:B175" si="75">M162&amp;" "&amp;N162&amp;" "&amp;O162</f>
        <v>ABT  Standard Premium Small</v>
      </c>
      <c r="C162" s="2">
        <f t="shared" ref="C162:C175" si="76">L162</f>
        <v>1</v>
      </c>
      <c r="D162" s="1" t="str">
        <f t="shared" ref="D162:D175" si="77">T162-5&amp;"-"&amp;T162</f>
        <v>10-15</v>
      </c>
      <c r="E162" s="1" t="str">
        <f t="shared" ref="E162:E175" si="78">IF(R162="CNY","¥"&amp;P162&amp;" + ¥"&amp;Q162/1000&amp;"/1 г",IF(R162="USD","$"&amp;P162&amp;" + $"&amp;Q162/1000&amp;"/1 г","Error"))</f>
        <v>¥20 + ¥0,026/1 г</v>
      </c>
      <c r="F162" s="1" t="str">
        <f t="shared" ref="F162:F175" si="79">IF(R162="CNY","¥"&amp;P162+3.5&amp;" + ¥"&amp;Q162/1000&amp;"/1 г",IF(R162="USD","$"&amp;P162+0.49&amp;" + $"&amp;Q162/1000&amp;"/1 г","Error"))</f>
        <v>¥23,5 + ¥0,026/1 г</v>
      </c>
      <c r="G162" s="1" t="str">
        <f t="shared" ref="G162:G175" si="80">IF(OR(U162="Разрешено",U162="允许"),"Разрешено",IF(OR(U162="Запрещено",U162="禁止"),"Запрещено","Error"))</f>
        <v>Разрешено</v>
      </c>
      <c r="L162" s="1">
        <v>1</v>
      </c>
      <c r="M162" s="1" t="s">
        <v>389</v>
      </c>
      <c r="N162" s="1" t="s">
        <v>280</v>
      </c>
      <c r="O162" s="1" t="s">
        <v>345</v>
      </c>
      <c r="P162" s="1">
        <v>20</v>
      </c>
      <c r="Q162" s="1">
        <v>26</v>
      </c>
      <c r="R162" s="1" t="s">
        <v>384</v>
      </c>
      <c r="S162" s="1">
        <f t="shared" si="62"/>
        <v>10</v>
      </c>
      <c r="T162" s="1">
        <v>15</v>
      </c>
      <c r="U162" s="1" t="s">
        <v>277</v>
      </c>
    </row>
    <row r="163" spans="2:21">
      <c r="B163" s="1" t="str">
        <f t="shared" si="75"/>
        <v>OYX  Standard Premium Small</v>
      </c>
      <c r="C163" s="2">
        <f t="shared" si="76"/>
        <v>2</v>
      </c>
      <c r="D163" s="1" t="str">
        <f t="shared" si="77"/>
        <v>10-15</v>
      </c>
      <c r="E163" s="1" t="str">
        <f t="shared" si="78"/>
        <v>¥19 + ¥0,0268/1 г</v>
      </c>
      <c r="F163" s="1" t="str">
        <f t="shared" si="79"/>
        <v>¥22,5 + ¥0,0268/1 г</v>
      </c>
      <c r="G163" s="1" t="str">
        <f t="shared" si="80"/>
        <v>Разрешено</v>
      </c>
      <c r="L163" s="1">
        <v>2</v>
      </c>
      <c r="M163" s="1" t="s">
        <v>390</v>
      </c>
      <c r="N163" s="1" t="s">
        <v>280</v>
      </c>
      <c r="O163" s="1" t="s">
        <v>345</v>
      </c>
      <c r="P163" s="1">
        <v>19</v>
      </c>
      <c r="Q163" s="1">
        <v>26.8</v>
      </c>
      <c r="R163" s="1" t="s">
        <v>384</v>
      </c>
      <c r="S163" s="1">
        <f t="shared" si="62"/>
        <v>10</v>
      </c>
      <c r="T163" s="1">
        <v>15</v>
      </c>
      <c r="U163" s="1" t="s">
        <v>277</v>
      </c>
    </row>
    <row r="164" spans="2:21">
      <c r="B164" s="1" t="str">
        <f t="shared" si="75"/>
        <v>UNI Standard Premium Small</v>
      </c>
      <c r="C164" s="2">
        <f t="shared" si="76"/>
        <v>2</v>
      </c>
      <c r="D164" s="1" t="str">
        <f t="shared" si="77"/>
        <v>10-15</v>
      </c>
      <c r="E164" s="1" t="str">
        <f t="shared" si="78"/>
        <v>$2,68 + $0,00362/1 г</v>
      </c>
      <c r="F164" s="1" t="str">
        <f t="shared" si="79"/>
        <v>$3,17 + $0,00362/1 г</v>
      </c>
      <c r="G164" s="1" t="str">
        <f t="shared" si="80"/>
        <v>Разрешено</v>
      </c>
      <c r="L164" s="1">
        <v>2</v>
      </c>
      <c r="M164" s="1" t="s">
        <v>386</v>
      </c>
      <c r="N164" s="1" t="s">
        <v>280</v>
      </c>
      <c r="O164" s="1" t="s">
        <v>345</v>
      </c>
      <c r="P164" s="1">
        <v>2.68</v>
      </c>
      <c r="Q164" s="1">
        <v>3.62</v>
      </c>
      <c r="R164" s="1" t="s">
        <v>387</v>
      </c>
      <c r="S164" s="1">
        <f t="shared" si="62"/>
        <v>10</v>
      </c>
      <c r="T164" s="1">
        <v>15</v>
      </c>
      <c r="U164" s="1" t="s">
        <v>388</v>
      </c>
    </row>
    <row r="165" spans="2:21">
      <c r="B165" s="1" t="str">
        <f t="shared" si="75"/>
        <v>RETS Standard Premium Small</v>
      </c>
      <c r="C165" s="2">
        <f t="shared" si="76"/>
        <v>4</v>
      </c>
      <c r="D165" s="1" t="str">
        <f t="shared" si="77"/>
        <v>7-12</v>
      </c>
      <c r="E165" s="1" t="str">
        <f t="shared" si="78"/>
        <v>¥20 + ¥0,032/1 г</v>
      </c>
      <c r="F165" s="1" t="str">
        <f t="shared" si="79"/>
        <v>¥23,5 + ¥0,032/1 г</v>
      </c>
      <c r="G165" s="1" t="str">
        <f t="shared" si="80"/>
        <v>Разрешено</v>
      </c>
      <c r="L165" s="1">
        <v>4</v>
      </c>
      <c r="M165" s="1" t="s">
        <v>383</v>
      </c>
      <c r="N165" s="1" t="s">
        <v>280</v>
      </c>
      <c r="O165" s="1" t="s">
        <v>345</v>
      </c>
      <c r="P165" s="1">
        <v>20</v>
      </c>
      <c r="Q165" s="1">
        <v>32</v>
      </c>
      <c r="R165" s="1" t="s">
        <v>384</v>
      </c>
      <c r="S165" s="1">
        <f t="shared" si="62"/>
        <v>7</v>
      </c>
      <c r="T165" s="1">
        <v>12</v>
      </c>
      <c r="U165" s="1" t="s">
        <v>388</v>
      </c>
    </row>
    <row r="166" spans="2:21">
      <c r="B166" s="1" t="str">
        <f t="shared" si="75"/>
        <v>Xingyuan Standard Premium Small</v>
      </c>
      <c r="C166" s="2">
        <f t="shared" si="76"/>
        <v>5</v>
      </c>
      <c r="D166" s="1" t="str">
        <f t="shared" si="77"/>
        <v>10-15</v>
      </c>
      <c r="E166" s="1" t="str">
        <f t="shared" si="78"/>
        <v>¥19 + ¥0,027/1 г</v>
      </c>
      <c r="F166" s="1" t="str">
        <f t="shared" si="79"/>
        <v>¥22,5 + ¥0,027/1 г</v>
      </c>
      <c r="G166" s="1" t="str">
        <f t="shared" si="80"/>
        <v>Разрешено</v>
      </c>
      <c r="L166" s="1">
        <v>5</v>
      </c>
      <c r="M166" s="1" t="s">
        <v>391</v>
      </c>
      <c r="N166" s="1" t="s">
        <v>280</v>
      </c>
      <c r="O166" s="1" t="s">
        <v>345</v>
      </c>
      <c r="P166" s="1">
        <v>19</v>
      </c>
      <c r="Q166" s="1">
        <v>27</v>
      </c>
      <c r="R166" s="1" t="s">
        <v>384</v>
      </c>
      <c r="S166" s="1">
        <f t="shared" si="62"/>
        <v>10</v>
      </c>
      <c r="T166" s="1">
        <v>15</v>
      </c>
      <c r="U166" s="1" t="s">
        <v>277</v>
      </c>
    </row>
    <row r="167" spans="2:21">
      <c r="B167" s="1" t="str">
        <f t="shared" si="75"/>
        <v>CEL Standard Premium Small</v>
      </c>
      <c r="C167" s="2">
        <f t="shared" si="76"/>
        <v>6</v>
      </c>
      <c r="D167" s="1" t="str">
        <f t="shared" si="77"/>
        <v>8-13</v>
      </c>
      <c r="E167" s="1" t="str">
        <f t="shared" si="78"/>
        <v>¥20 + ¥0,0269/1 г</v>
      </c>
      <c r="F167" s="1" t="str">
        <f t="shared" si="79"/>
        <v>¥23,5 + ¥0,0269/1 г</v>
      </c>
      <c r="G167" s="1" t="str">
        <f t="shared" si="80"/>
        <v>Разрешено</v>
      </c>
      <c r="L167" s="1">
        <v>6</v>
      </c>
      <c r="M167" s="1" t="s">
        <v>392</v>
      </c>
      <c r="N167" s="1" t="s">
        <v>280</v>
      </c>
      <c r="O167" s="1" t="s">
        <v>345</v>
      </c>
      <c r="P167" s="1">
        <v>20</v>
      </c>
      <c r="Q167" s="1">
        <v>26.9</v>
      </c>
      <c r="R167" s="1" t="s">
        <v>384</v>
      </c>
      <c r="S167" s="1">
        <f t="shared" si="62"/>
        <v>8</v>
      </c>
      <c r="T167" s="1">
        <v>13</v>
      </c>
      <c r="U167" s="1" t="s">
        <v>277</v>
      </c>
    </row>
    <row r="168" spans="2:21">
      <c r="B168" s="1" t="str">
        <f t="shared" si="75"/>
        <v>Ural Standard Premium Small</v>
      </c>
      <c r="C168" s="2">
        <f t="shared" si="76"/>
        <v>7</v>
      </c>
      <c r="D168" s="1" t="str">
        <f t="shared" si="77"/>
        <v>10-15</v>
      </c>
      <c r="E168" s="1" t="str">
        <f t="shared" si="78"/>
        <v>¥22 + ¥0,032/1 г</v>
      </c>
      <c r="F168" s="1" t="str">
        <f t="shared" si="79"/>
        <v>¥25,5 + ¥0,032/1 г</v>
      </c>
      <c r="G168" s="1" t="str">
        <f t="shared" si="80"/>
        <v>Разрешено</v>
      </c>
      <c r="L168" s="1">
        <v>7</v>
      </c>
      <c r="M168" s="1" t="s">
        <v>396</v>
      </c>
      <c r="N168" s="1" t="s">
        <v>280</v>
      </c>
      <c r="O168" s="1" t="s">
        <v>345</v>
      </c>
      <c r="P168" s="1">
        <v>22</v>
      </c>
      <c r="Q168" s="1">
        <v>32</v>
      </c>
      <c r="R168" s="1" t="s">
        <v>384</v>
      </c>
      <c r="S168" s="1">
        <f t="shared" si="62"/>
        <v>10</v>
      </c>
      <c r="T168" s="1">
        <v>15</v>
      </c>
      <c r="U168" s="1" t="s">
        <v>277</v>
      </c>
    </row>
    <row r="169" spans="2:21">
      <c r="B169" s="1" t="str">
        <f t="shared" si="75"/>
        <v>GBS Standard Premium Small</v>
      </c>
      <c r="C169" s="2">
        <f t="shared" si="76"/>
        <v>8</v>
      </c>
      <c r="D169" s="1" t="str">
        <f t="shared" si="77"/>
        <v>9-14</v>
      </c>
      <c r="E169" s="1" t="str">
        <f t="shared" si="78"/>
        <v>¥21 + ¥0,034/1 г</v>
      </c>
      <c r="F169" s="1" t="str">
        <f t="shared" si="79"/>
        <v>¥24,5 + ¥0,034/1 г</v>
      </c>
      <c r="G169" s="1" t="str">
        <f t="shared" si="80"/>
        <v>Разрешено</v>
      </c>
      <c r="L169" s="1">
        <v>8</v>
      </c>
      <c r="M169" s="1" t="s">
        <v>402</v>
      </c>
      <c r="N169" s="1" t="s">
        <v>280</v>
      </c>
      <c r="O169" s="1" t="s">
        <v>345</v>
      </c>
      <c r="P169" s="1">
        <v>21</v>
      </c>
      <c r="Q169" s="1">
        <v>34</v>
      </c>
      <c r="R169" s="1" t="s">
        <v>384</v>
      </c>
      <c r="S169" s="1">
        <f t="shared" si="62"/>
        <v>9</v>
      </c>
      <c r="T169" s="1">
        <v>14</v>
      </c>
      <c r="U169" s="1" t="s">
        <v>388</v>
      </c>
    </row>
    <row r="170" spans="2:21">
      <c r="B170" s="1" t="str">
        <f t="shared" si="75"/>
        <v>ATC Standard Premium Small</v>
      </c>
      <c r="C170" s="2">
        <f t="shared" si="76"/>
        <v>9</v>
      </c>
      <c r="D170" s="1" t="str">
        <f t="shared" si="77"/>
        <v>10-15</v>
      </c>
      <c r="E170" s="1" t="str">
        <f t="shared" si="78"/>
        <v>¥21 + ¥0,034/1 г</v>
      </c>
      <c r="F170" s="1" t="str">
        <f t="shared" si="79"/>
        <v>¥24,5 + ¥0,034/1 г</v>
      </c>
      <c r="G170" s="1" t="str">
        <f t="shared" si="80"/>
        <v>Разрешено</v>
      </c>
      <c r="L170" s="1">
        <v>9</v>
      </c>
      <c r="M170" s="1" t="s">
        <v>399</v>
      </c>
      <c r="N170" s="1" t="s">
        <v>280</v>
      </c>
      <c r="O170" s="1" t="s">
        <v>345</v>
      </c>
      <c r="P170" s="1">
        <v>21</v>
      </c>
      <c r="Q170" s="1">
        <v>34</v>
      </c>
      <c r="R170" s="1" t="s">
        <v>384</v>
      </c>
      <c r="S170" s="1">
        <f t="shared" si="62"/>
        <v>10</v>
      </c>
      <c r="T170" s="1">
        <v>15</v>
      </c>
      <c r="U170" s="1" t="s">
        <v>388</v>
      </c>
    </row>
    <row r="171" spans="2:21">
      <c r="B171" s="1" t="str">
        <f t="shared" si="75"/>
        <v>ZTO Standard Premium Small</v>
      </c>
      <c r="C171" s="2">
        <f t="shared" si="76"/>
        <v>10</v>
      </c>
      <c r="D171" s="1" t="str">
        <f t="shared" si="77"/>
        <v>10-15</v>
      </c>
      <c r="E171" s="1" t="str">
        <f t="shared" si="78"/>
        <v>¥22 + ¥0,035/1 г</v>
      </c>
      <c r="F171" s="1" t="str">
        <f t="shared" si="79"/>
        <v>¥25,5 + ¥0,035/1 г</v>
      </c>
      <c r="G171" s="1" t="str">
        <f t="shared" si="80"/>
        <v>Разрешено</v>
      </c>
      <c r="L171" s="1">
        <v>10</v>
      </c>
      <c r="M171" s="1" t="s">
        <v>393</v>
      </c>
      <c r="N171" s="1" t="s">
        <v>280</v>
      </c>
      <c r="O171" s="1" t="s">
        <v>345</v>
      </c>
      <c r="P171" s="1">
        <v>22</v>
      </c>
      <c r="Q171" s="1">
        <v>35</v>
      </c>
      <c r="R171" s="1" t="s">
        <v>384</v>
      </c>
      <c r="S171" s="1">
        <f t="shared" si="62"/>
        <v>10</v>
      </c>
      <c r="T171" s="1">
        <v>15</v>
      </c>
      <c r="U171" s="1" t="s">
        <v>277</v>
      </c>
    </row>
    <row r="172" spans="2:21">
      <c r="B172" s="1" t="str">
        <f t="shared" si="75"/>
        <v>IML Standard Premium Small</v>
      </c>
      <c r="C172" s="2">
        <f t="shared" si="76"/>
        <v>11</v>
      </c>
      <c r="D172" s="1" t="str">
        <f t="shared" si="77"/>
        <v>9-14</v>
      </c>
      <c r="E172" s="1" t="str">
        <f t="shared" si="78"/>
        <v>¥21,95 + ¥0,035/1 г</v>
      </c>
      <c r="F172" s="1" t="str">
        <f t="shared" si="79"/>
        <v>¥25,45 + ¥0,035/1 г</v>
      </c>
      <c r="G172" s="1" t="str">
        <f t="shared" si="80"/>
        <v>Разрешено</v>
      </c>
      <c r="L172" s="1">
        <v>11</v>
      </c>
      <c r="M172" s="1" t="s">
        <v>395</v>
      </c>
      <c r="N172" s="1" t="s">
        <v>280</v>
      </c>
      <c r="O172" s="1" t="s">
        <v>345</v>
      </c>
      <c r="P172" s="1">
        <v>21.95</v>
      </c>
      <c r="Q172" s="1">
        <v>35</v>
      </c>
      <c r="R172" s="1" t="s">
        <v>384</v>
      </c>
      <c r="S172" s="1">
        <f t="shared" si="62"/>
        <v>9</v>
      </c>
      <c r="T172" s="1">
        <v>14</v>
      </c>
      <c r="U172" s="1" t="s">
        <v>277</v>
      </c>
    </row>
    <row r="173" spans="2:21">
      <c r="B173" s="1" t="str">
        <f t="shared" si="75"/>
        <v>Leader Standard Premium Small</v>
      </c>
      <c r="C173" s="2">
        <f t="shared" si="76"/>
        <v>12</v>
      </c>
      <c r="D173" s="1" t="str">
        <f t="shared" si="77"/>
        <v>10-15</v>
      </c>
      <c r="E173" s="1" t="str">
        <f t="shared" si="78"/>
        <v>¥21,5 + ¥0,035/1 г</v>
      </c>
      <c r="F173" s="1" t="str">
        <f t="shared" si="79"/>
        <v>¥25 + ¥0,035/1 г</v>
      </c>
      <c r="G173" s="1" t="str">
        <f t="shared" si="80"/>
        <v>Разрешено</v>
      </c>
      <c r="L173" s="1">
        <v>12</v>
      </c>
      <c r="M173" s="1" t="s">
        <v>401</v>
      </c>
      <c r="N173" s="1" t="s">
        <v>280</v>
      </c>
      <c r="O173" s="1" t="s">
        <v>345</v>
      </c>
      <c r="P173" s="1">
        <v>21.5</v>
      </c>
      <c r="Q173" s="1">
        <v>35</v>
      </c>
      <c r="R173" s="1" t="s">
        <v>384</v>
      </c>
      <c r="S173" s="1">
        <f t="shared" si="62"/>
        <v>10</v>
      </c>
      <c r="T173" s="1">
        <v>15</v>
      </c>
      <c r="U173" s="1" t="s">
        <v>277</v>
      </c>
    </row>
    <row r="174" spans="2:21">
      <c r="B174" s="1" t="str">
        <f t="shared" si="75"/>
        <v>TFS Standard Premium Small</v>
      </c>
      <c r="C174" s="2">
        <f t="shared" si="76"/>
        <v>13</v>
      </c>
      <c r="D174" s="1" t="str">
        <f t="shared" si="77"/>
        <v>10-15</v>
      </c>
      <c r="E174" s="1" t="str">
        <f t="shared" si="78"/>
        <v>¥22 + ¥0,035/1 г</v>
      </c>
      <c r="F174" s="1" t="str">
        <f t="shared" si="79"/>
        <v>¥25,5 + ¥0,035/1 г</v>
      </c>
      <c r="G174" s="1" t="str">
        <f t="shared" si="80"/>
        <v>Разрешено</v>
      </c>
      <c r="L174" s="1">
        <v>13</v>
      </c>
      <c r="M174" s="1" t="s">
        <v>398</v>
      </c>
      <c r="N174" s="1" t="s">
        <v>280</v>
      </c>
      <c r="O174" s="1" t="s">
        <v>345</v>
      </c>
      <c r="P174" s="1">
        <v>22</v>
      </c>
      <c r="Q174" s="1">
        <v>35</v>
      </c>
      <c r="R174" s="1" t="s">
        <v>384</v>
      </c>
      <c r="S174" s="1">
        <f t="shared" si="62"/>
        <v>10</v>
      </c>
      <c r="T174" s="1">
        <v>15</v>
      </c>
      <c r="U174" s="1" t="s">
        <v>388</v>
      </c>
    </row>
    <row r="175" spans="2:21">
      <c r="B175" s="1" t="str">
        <f t="shared" si="75"/>
        <v>Tanais Standard Premium Small</v>
      </c>
      <c r="C175" s="2">
        <f t="shared" si="76"/>
        <v>13</v>
      </c>
      <c r="D175" s="1" t="str">
        <f t="shared" si="77"/>
        <v>10-15</v>
      </c>
      <c r="E175" s="1" t="str">
        <f t="shared" si="78"/>
        <v>¥22 + ¥0,035/1 г</v>
      </c>
      <c r="F175" s="1" t="str">
        <f t="shared" si="79"/>
        <v>¥25,5 + ¥0,035/1 г</v>
      </c>
      <c r="G175" s="1" t="str">
        <f t="shared" si="80"/>
        <v>Разрешено</v>
      </c>
      <c r="L175" s="1">
        <v>13</v>
      </c>
      <c r="M175" s="1" t="s">
        <v>394</v>
      </c>
      <c r="N175" s="1" t="s">
        <v>280</v>
      </c>
      <c r="O175" s="1" t="s">
        <v>345</v>
      </c>
      <c r="P175" s="1">
        <v>22</v>
      </c>
      <c r="Q175" s="1">
        <v>35</v>
      </c>
      <c r="R175" s="1" t="s">
        <v>384</v>
      </c>
      <c r="S175" s="1">
        <f t="shared" si="62"/>
        <v>10</v>
      </c>
      <c r="T175" s="1">
        <v>15</v>
      </c>
      <c r="U175" s="1" t="s">
        <v>388</v>
      </c>
    </row>
    <row r="177" spans="2:21">
      <c r="B177" s="1" t="str">
        <f t="shared" ref="B177:B189" si="81">M177&amp;" "&amp;N177&amp;" "&amp;O177</f>
        <v>OYX  Economy Premium Small</v>
      </c>
      <c r="C177" s="2">
        <f t="shared" ref="C177:C189" si="82">L177</f>
        <v>1</v>
      </c>
      <c r="D177" s="1" t="str">
        <f t="shared" ref="D177:D189" si="83">T177-5&amp;"-"&amp;T177</f>
        <v>15-20</v>
      </c>
      <c r="E177" s="1" t="str">
        <f t="shared" ref="E177:E189" si="84">IF(R177="CNY","¥"&amp;P177&amp;" + ¥"&amp;Q177/1000&amp;"/1 г",IF(R177="USD","$"&amp;P177&amp;" + $"&amp;Q177/1000&amp;"/1 г","Error"))</f>
        <v>¥19 + ¥0,0238/1 г</v>
      </c>
      <c r="F177" s="1" t="str">
        <f t="shared" ref="F177:F189" si="85">IF(R177="CNY","¥"&amp;P177+3.5&amp;" + ¥"&amp;Q177/1000&amp;"/1 г",IF(R177="USD","$"&amp;P177+0.49&amp;" + $"&amp;Q177/1000&amp;"/1 г","Error"))</f>
        <v>¥22,5 + ¥0,0238/1 г</v>
      </c>
      <c r="G177" s="1" t="str">
        <f t="shared" ref="G177:G189" si="86">IF(OR(U177="Разрешено",U177="允许"),"Разрешено",IF(OR(U177="Запрещено",U177="禁止"),"Запрещено","Error"))</f>
        <v>Разрешено</v>
      </c>
      <c r="L177" s="1">
        <v>1</v>
      </c>
      <c r="M177" s="1" t="s">
        <v>390</v>
      </c>
      <c r="N177" s="1" t="s">
        <v>287</v>
      </c>
      <c r="O177" s="1" t="s">
        <v>345</v>
      </c>
      <c r="P177" s="1">
        <v>19</v>
      </c>
      <c r="Q177" s="1">
        <v>23.8</v>
      </c>
      <c r="R177" s="1" t="s">
        <v>384</v>
      </c>
      <c r="S177" s="1">
        <f t="shared" si="62"/>
        <v>15</v>
      </c>
      <c r="T177" s="1">
        <v>20</v>
      </c>
      <c r="U177" s="1" t="s">
        <v>277</v>
      </c>
    </row>
    <row r="178" spans="2:21">
      <c r="B178" s="1" t="str">
        <f t="shared" si="81"/>
        <v>Xingyuan Economy Premium Small</v>
      </c>
      <c r="C178" s="2">
        <f t="shared" si="82"/>
        <v>2</v>
      </c>
      <c r="D178" s="1" t="str">
        <f t="shared" si="83"/>
        <v>15-20</v>
      </c>
      <c r="E178" s="1" t="str">
        <f t="shared" si="84"/>
        <v>¥19 + ¥0,024/1 г</v>
      </c>
      <c r="F178" s="1" t="str">
        <f t="shared" si="85"/>
        <v>¥22,5 + ¥0,024/1 г</v>
      </c>
      <c r="G178" s="1" t="str">
        <f t="shared" si="86"/>
        <v>Разрешено</v>
      </c>
      <c r="L178" s="1">
        <v>2</v>
      </c>
      <c r="M178" s="1" t="s">
        <v>391</v>
      </c>
      <c r="N178" s="1" t="s">
        <v>287</v>
      </c>
      <c r="O178" s="1" t="s">
        <v>345</v>
      </c>
      <c r="P178" s="1">
        <v>19</v>
      </c>
      <c r="Q178" s="1">
        <v>24</v>
      </c>
      <c r="R178" s="1" t="s">
        <v>384</v>
      </c>
      <c r="S178" s="1">
        <f t="shared" si="62"/>
        <v>15</v>
      </c>
      <c r="T178" s="1">
        <v>20</v>
      </c>
      <c r="U178" s="1" t="s">
        <v>277</v>
      </c>
    </row>
    <row r="179" spans="2:21">
      <c r="B179" s="1" t="str">
        <f t="shared" si="81"/>
        <v>ABT  Economy Premium Small</v>
      </c>
      <c r="C179" s="2">
        <f t="shared" si="82"/>
        <v>2</v>
      </c>
      <c r="D179" s="1" t="str">
        <f t="shared" si="83"/>
        <v>15-20</v>
      </c>
      <c r="E179" s="1" t="str">
        <f t="shared" si="84"/>
        <v>¥19 + ¥0,024/1 г</v>
      </c>
      <c r="F179" s="1" t="str">
        <f t="shared" si="85"/>
        <v>¥22,5 + ¥0,024/1 г</v>
      </c>
      <c r="G179" s="1" t="str">
        <f t="shared" si="86"/>
        <v>Разрешено</v>
      </c>
      <c r="L179" s="1">
        <v>2</v>
      </c>
      <c r="M179" s="1" t="s">
        <v>389</v>
      </c>
      <c r="N179" s="1" t="s">
        <v>287</v>
      </c>
      <c r="O179" s="1" t="s">
        <v>345</v>
      </c>
      <c r="P179" s="1">
        <v>19</v>
      </c>
      <c r="Q179" s="1">
        <v>24</v>
      </c>
      <c r="R179" s="1" t="s">
        <v>384</v>
      </c>
      <c r="S179" s="1">
        <f t="shared" si="62"/>
        <v>15</v>
      </c>
      <c r="T179" s="1">
        <v>20</v>
      </c>
      <c r="U179" s="1" t="s">
        <v>277</v>
      </c>
    </row>
    <row r="180" spans="2:21">
      <c r="B180" s="1" t="str">
        <f t="shared" si="81"/>
        <v>Tanais Economy Premium Small</v>
      </c>
      <c r="C180" s="2">
        <f t="shared" si="82"/>
        <v>4</v>
      </c>
      <c r="D180" s="1" t="str">
        <f t="shared" si="83"/>
        <v>14-19</v>
      </c>
      <c r="E180" s="1" t="str">
        <f t="shared" si="84"/>
        <v>¥21 + ¥0,022/1 г</v>
      </c>
      <c r="F180" s="1" t="str">
        <f t="shared" si="85"/>
        <v>¥24,5 + ¥0,022/1 г</v>
      </c>
      <c r="G180" s="1" t="str">
        <f t="shared" si="86"/>
        <v>Разрешено</v>
      </c>
      <c r="L180" s="1">
        <v>4</v>
      </c>
      <c r="M180" s="1" t="s">
        <v>394</v>
      </c>
      <c r="N180" s="1" t="s">
        <v>287</v>
      </c>
      <c r="O180" s="1" t="s">
        <v>345</v>
      </c>
      <c r="P180" s="1">
        <v>21</v>
      </c>
      <c r="Q180" s="1">
        <v>22</v>
      </c>
      <c r="R180" s="1" t="s">
        <v>384</v>
      </c>
      <c r="S180" s="1">
        <f t="shared" si="62"/>
        <v>14</v>
      </c>
      <c r="T180" s="1">
        <v>19</v>
      </c>
      <c r="U180" s="1" t="s">
        <v>388</v>
      </c>
    </row>
    <row r="181" spans="2:21">
      <c r="B181" s="1" t="str">
        <f t="shared" si="81"/>
        <v>RETS Economy Premium Small</v>
      </c>
      <c r="C181" s="2">
        <f t="shared" si="82"/>
        <v>5</v>
      </c>
      <c r="D181" s="1" t="str">
        <f t="shared" si="83"/>
        <v>13-18</v>
      </c>
      <c r="E181" s="1" t="str">
        <f t="shared" si="84"/>
        <v>¥21 + ¥0,024/1 г</v>
      </c>
      <c r="F181" s="1" t="str">
        <f t="shared" si="85"/>
        <v>¥24,5 + ¥0,024/1 г</v>
      </c>
      <c r="G181" s="1" t="str">
        <f t="shared" si="86"/>
        <v>Разрешено</v>
      </c>
      <c r="L181" s="1">
        <v>5</v>
      </c>
      <c r="M181" s="1" t="s">
        <v>383</v>
      </c>
      <c r="N181" s="1" t="s">
        <v>287</v>
      </c>
      <c r="O181" s="1" t="s">
        <v>345</v>
      </c>
      <c r="P181" s="1">
        <v>21</v>
      </c>
      <c r="Q181" s="1">
        <v>24</v>
      </c>
      <c r="R181" s="1" t="s">
        <v>384</v>
      </c>
      <c r="S181" s="1">
        <f t="shared" si="62"/>
        <v>13</v>
      </c>
      <c r="T181" s="1">
        <v>18</v>
      </c>
      <c r="U181" s="1" t="s">
        <v>388</v>
      </c>
    </row>
    <row r="182" spans="2:21">
      <c r="B182" s="1" t="str">
        <f t="shared" si="81"/>
        <v>CEL Economy Premium Small</v>
      </c>
      <c r="C182" s="2">
        <f t="shared" si="82"/>
        <v>6</v>
      </c>
      <c r="D182" s="1" t="str">
        <f t="shared" si="83"/>
        <v>15-20</v>
      </c>
      <c r="E182" s="1" t="str">
        <f t="shared" si="84"/>
        <v>¥20 + ¥0,0239/1 г</v>
      </c>
      <c r="F182" s="1" t="str">
        <f t="shared" si="85"/>
        <v>¥23,5 + ¥0,0239/1 г</v>
      </c>
      <c r="G182" s="1" t="str">
        <f t="shared" si="86"/>
        <v>Разрешено</v>
      </c>
      <c r="L182" s="1">
        <v>6</v>
      </c>
      <c r="M182" s="1" t="s">
        <v>392</v>
      </c>
      <c r="N182" s="1" t="s">
        <v>287</v>
      </c>
      <c r="O182" s="1" t="s">
        <v>345</v>
      </c>
      <c r="P182" s="1">
        <v>20</v>
      </c>
      <c r="Q182" s="1">
        <v>23.9</v>
      </c>
      <c r="R182" s="1" t="s">
        <v>384</v>
      </c>
      <c r="S182" s="1">
        <f t="shared" si="62"/>
        <v>15</v>
      </c>
      <c r="T182" s="1">
        <v>20</v>
      </c>
      <c r="U182" s="1" t="s">
        <v>277</v>
      </c>
    </row>
    <row r="183" spans="2:21">
      <c r="B183" s="1" t="str">
        <f t="shared" si="81"/>
        <v>GBS Economy Premium Small</v>
      </c>
      <c r="C183" s="2">
        <f t="shared" si="82"/>
        <v>6</v>
      </c>
      <c r="D183" s="1" t="str">
        <f t="shared" si="83"/>
        <v>15-20</v>
      </c>
      <c r="E183" s="1" t="str">
        <f t="shared" si="84"/>
        <v>¥21 + ¥0,02375/1 г</v>
      </c>
      <c r="F183" s="1" t="str">
        <f t="shared" si="85"/>
        <v>¥24,5 + ¥0,02375/1 г</v>
      </c>
      <c r="G183" s="1" t="str">
        <f t="shared" si="86"/>
        <v>Разрешено</v>
      </c>
      <c r="L183" s="1">
        <v>6</v>
      </c>
      <c r="M183" s="1" t="s">
        <v>402</v>
      </c>
      <c r="N183" s="1" t="s">
        <v>287</v>
      </c>
      <c r="O183" s="1" t="s">
        <v>345</v>
      </c>
      <c r="P183" s="1">
        <v>21</v>
      </c>
      <c r="Q183" s="1">
        <v>23.75</v>
      </c>
      <c r="R183" s="1" t="s">
        <v>384</v>
      </c>
      <c r="S183" s="1">
        <f t="shared" si="62"/>
        <v>15</v>
      </c>
      <c r="T183" s="1">
        <v>20</v>
      </c>
      <c r="U183" s="1" t="s">
        <v>388</v>
      </c>
    </row>
    <row r="184" spans="2:21">
      <c r="B184" s="1" t="str">
        <f t="shared" si="81"/>
        <v>ATC Economy Premium Small</v>
      </c>
      <c r="C184" s="2">
        <f t="shared" si="82"/>
        <v>8</v>
      </c>
      <c r="D184" s="1" t="str">
        <f t="shared" si="83"/>
        <v>15-20</v>
      </c>
      <c r="E184" s="1" t="str">
        <f t="shared" si="84"/>
        <v>¥21,5 + ¥0,024/1 г</v>
      </c>
      <c r="F184" s="1" t="str">
        <f t="shared" si="85"/>
        <v>¥25 + ¥0,024/1 г</v>
      </c>
      <c r="G184" s="1" t="str">
        <f t="shared" si="86"/>
        <v>Разрешено</v>
      </c>
      <c r="L184" s="1">
        <v>8</v>
      </c>
      <c r="M184" s="1" t="s">
        <v>399</v>
      </c>
      <c r="N184" s="1" t="s">
        <v>287</v>
      </c>
      <c r="O184" s="1" t="s">
        <v>345</v>
      </c>
      <c r="P184" s="1">
        <v>21.5</v>
      </c>
      <c r="Q184" s="1">
        <v>24</v>
      </c>
      <c r="R184" s="1" t="s">
        <v>384</v>
      </c>
      <c r="S184" s="1">
        <f t="shared" si="62"/>
        <v>15</v>
      </c>
      <c r="T184" s="1">
        <v>20</v>
      </c>
      <c r="U184" s="1" t="s">
        <v>388</v>
      </c>
    </row>
    <row r="185" spans="2:21">
      <c r="B185" s="1" t="str">
        <f t="shared" si="81"/>
        <v>ZTO Economy Premium Small</v>
      </c>
      <c r="C185" s="2">
        <f t="shared" si="82"/>
        <v>9</v>
      </c>
      <c r="D185" s="1" t="str">
        <f t="shared" si="83"/>
        <v>15-20</v>
      </c>
      <c r="E185" s="1" t="str">
        <f t="shared" si="84"/>
        <v>¥22 + ¥0,025/1 г</v>
      </c>
      <c r="F185" s="1" t="str">
        <f t="shared" si="85"/>
        <v>¥25,5 + ¥0,025/1 г</v>
      </c>
      <c r="G185" s="1" t="str">
        <f t="shared" si="86"/>
        <v>Разрешено</v>
      </c>
      <c r="L185" s="1">
        <v>9</v>
      </c>
      <c r="M185" s="1" t="s">
        <v>393</v>
      </c>
      <c r="N185" s="1" t="s">
        <v>287</v>
      </c>
      <c r="O185" s="1" t="s">
        <v>345</v>
      </c>
      <c r="P185" s="1">
        <v>22</v>
      </c>
      <c r="Q185" s="1">
        <v>25</v>
      </c>
      <c r="R185" s="1" t="s">
        <v>384</v>
      </c>
      <c r="S185" s="1">
        <f t="shared" si="62"/>
        <v>15</v>
      </c>
      <c r="T185" s="1">
        <v>20</v>
      </c>
      <c r="U185" s="1" t="s">
        <v>277</v>
      </c>
    </row>
    <row r="186" spans="2:21">
      <c r="B186" s="1" t="str">
        <f t="shared" si="81"/>
        <v>Leader Economy Premium Small</v>
      </c>
      <c r="C186" s="2">
        <f t="shared" si="82"/>
        <v>10</v>
      </c>
      <c r="D186" s="1" t="str">
        <f t="shared" si="83"/>
        <v>10-15</v>
      </c>
      <c r="E186" s="1" t="str">
        <f t="shared" si="84"/>
        <v>¥21,5 + ¥0,025/1 г</v>
      </c>
      <c r="F186" s="1" t="str">
        <f t="shared" si="85"/>
        <v>¥25 + ¥0,025/1 г</v>
      </c>
      <c r="G186" s="1" t="str">
        <f t="shared" si="86"/>
        <v>Разрешено</v>
      </c>
      <c r="L186" s="1">
        <v>10</v>
      </c>
      <c r="M186" s="1" t="s">
        <v>401</v>
      </c>
      <c r="N186" s="1" t="s">
        <v>287</v>
      </c>
      <c r="O186" s="1" t="s">
        <v>345</v>
      </c>
      <c r="P186" s="1">
        <v>21.5</v>
      </c>
      <c r="Q186" s="1">
        <v>25</v>
      </c>
      <c r="R186" s="1" t="s">
        <v>384</v>
      </c>
      <c r="S186" s="1">
        <f t="shared" si="62"/>
        <v>10</v>
      </c>
      <c r="T186" s="1">
        <v>15</v>
      </c>
      <c r="U186" s="1" t="s">
        <v>277</v>
      </c>
    </row>
    <row r="187" spans="2:21">
      <c r="B187" s="1" t="str">
        <f t="shared" si="81"/>
        <v>Ural Economy Premium Small</v>
      </c>
      <c r="C187" s="2">
        <f t="shared" si="82"/>
        <v>11</v>
      </c>
      <c r="D187" s="1" t="str">
        <f t="shared" si="83"/>
        <v>15-20</v>
      </c>
      <c r="E187" s="1" t="str">
        <f t="shared" si="84"/>
        <v>¥22 + ¥0,025/1 г</v>
      </c>
      <c r="F187" s="1" t="str">
        <f t="shared" si="85"/>
        <v>¥25,5 + ¥0,025/1 г</v>
      </c>
      <c r="G187" s="1" t="str">
        <f t="shared" si="86"/>
        <v>Разрешено</v>
      </c>
      <c r="L187" s="1">
        <v>11</v>
      </c>
      <c r="M187" s="1" t="s">
        <v>396</v>
      </c>
      <c r="N187" s="1" t="s">
        <v>287</v>
      </c>
      <c r="O187" s="1" t="s">
        <v>345</v>
      </c>
      <c r="P187" s="1">
        <v>22</v>
      </c>
      <c r="Q187" s="1">
        <v>25</v>
      </c>
      <c r="R187" s="1" t="s">
        <v>384</v>
      </c>
      <c r="S187" s="1">
        <f t="shared" si="62"/>
        <v>15</v>
      </c>
      <c r="T187" s="1">
        <v>20</v>
      </c>
      <c r="U187" s="1" t="s">
        <v>277</v>
      </c>
    </row>
    <row r="188" spans="2:21">
      <c r="B188" s="1" t="str">
        <f t="shared" si="81"/>
        <v>UNI Economy Premium Small</v>
      </c>
      <c r="C188" s="2">
        <f t="shared" si="82"/>
        <v>12</v>
      </c>
      <c r="D188" s="1" t="str">
        <f t="shared" si="83"/>
        <v>15-20</v>
      </c>
      <c r="E188" s="1" t="str">
        <f t="shared" si="84"/>
        <v>$3,06 + $0,00347/1 г</v>
      </c>
      <c r="F188" s="1" t="str">
        <f t="shared" si="85"/>
        <v>$3,55 + $0,00347/1 г</v>
      </c>
      <c r="G188" s="1" t="str">
        <f t="shared" si="86"/>
        <v>Разрешено</v>
      </c>
      <c r="L188" s="1">
        <v>12</v>
      </c>
      <c r="M188" s="1" t="s">
        <v>386</v>
      </c>
      <c r="N188" s="1" t="s">
        <v>287</v>
      </c>
      <c r="O188" s="1" t="s">
        <v>345</v>
      </c>
      <c r="P188" s="1">
        <v>3.06</v>
      </c>
      <c r="Q188" s="1">
        <v>3.47</v>
      </c>
      <c r="R188" s="1" t="s">
        <v>387</v>
      </c>
      <c r="S188" s="1">
        <f t="shared" si="62"/>
        <v>15</v>
      </c>
      <c r="T188" s="1">
        <v>20</v>
      </c>
      <c r="U188" s="1" t="s">
        <v>388</v>
      </c>
    </row>
    <row r="189" spans="2:21">
      <c r="B189" s="1" t="str">
        <f t="shared" si="81"/>
        <v>GUOO Economy Premium Small</v>
      </c>
      <c r="C189" s="2">
        <f t="shared" si="82"/>
        <v>13</v>
      </c>
      <c r="D189" s="1" t="str">
        <f t="shared" si="83"/>
        <v>15-20</v>
      </c>
      <c r="E189" s="1" t="str">
        <f t="shared" si="84"/>
        <v>¥22 + ¥0,025/1 г</v>
      </c>
      <c r="F189" s="1" t="str">
        <f t="shared" si="85"/>
        <v>¥25,5 + ¥0,025/1 г</v>
      </c>
      <c r="G189" s="1" t="str">
        <f t="shared" si="86"/>
        <v>Разрешено</v>
      </c>
      <c r="L189" s="1">
        <v>13</v>
      </c>
      <c r="M189" s="1" t="s">
        <v>397</v>
      </c>
      <c r="N189" s="1" t="s">
        <v>287</v>
      </c>
      <c r="O189" s="1" t="s">
        <v>345</v>
      </c>
      <c r="P189" s="1">
        <v>22</v>
      </c>
      <c r="Q189" s="1">
        <v>25</v>
      </c>
      <c r="R189" s="1" t="s">
        <v>384</v>
      </c>
      <c r="S189" s="1">
        <f t="shared" si="62"/>
        <v>15</v>
      </c>
      <c r="T189" s="1">
        <v>20</v>
      </c>
      <c r="U189" s="1" t="s">
        <v>277</v>
      </c>
    </row>
    <row r="191" spans="2:21">
      <c r="B191" s="1" t="str">
        <f t="shared" ref="B191:B196" si="87">M191&amp;" "&amp;N191&amp;" "&amp;O191</f>
        <v>RETS Express Premium Big</v>
      </c>
      <c r="C191" s="2">
        <f t="shared" ref="C191:C196" si="88">L191</f>
        <v>1</v>
      </c>
      <c r="D191" s="1" t="str">
        <f t="shared" ref="D191:D196" si="89">T191-5&amp;"-"&amp;T191</f>
        <v>3-8</v>
      </c>
      <c r="E191" s="1" t="str">
        <f t="shared" ref="E191:E196" si="90">IF(R191="CNY","¥"&amp;P191&amp;" + ¥"&amp;Q191/1000&amp;"/1 г",IF(R191="USD","$"&amp;P191&amp;" + $"&amp;Q191/1000&amp;"/1 г","Error"))</f>
        <v>¥61,9 + ¥0,032/1 г</v>
      </c>
      <c r="F191" s="1" t="str">
        <f t="shared" ref="F191:F196" si="91">IF(R191="CNY","¥"&amp;P191+3.5&amp;" + ¥"&amp;Q191/1000&amp;"/1 г",IF(R191="USD","$"&amp;P191+0.49&amp;" + $"&amp;Q191/1000&amp;"/1 г","Error"))</f>
        <v>¥65,4 + ¥0,032/1 г</v>
      </c>
      <c r="G191" s="1" t="str">
        <f t="shared" ref="G191:G196" si="92">IF(OR(U191="Разрешено",U191="允许"),"Разрешено",IF(OR(U191="Запрещено",U191="禁止"),"Запрещено","Error"))</f>
        <v>Запрещено</v>
      </c>
      <c r="L191" s="1">
        <v>1</v>
      </c>
      <c r="M191" s="1" t="s">
        <v>383</v>
      </c>
      <c r="N191" s="1" t="s">
        <v>261</v>
      </c>
      <c r="O191" s="1" t="s">
        <v>363</v>
      </c>
      <c r="P191" s="1">
        <v>61.9</v>
      </c>
      <c r="Q191" s="1">
        <v>32</v>
      </c>
      <c r="R191" s="1" t="s">
        <v>384</v>
      </c>
      <c r="S191" s="1">
        <f t="shared" si="62"/>
        <v>3</v>
      </c>
      <c r="T191" s="1">
        <v>8</v>
      </c>
      <c r="U191" s="1" t="s">
        <v>385</v>
      </c>
    </row>
    <row r="192" spans="2:21">
      <c r="B192" s="1" t="str">
        <f t="shared" si="87"/>
        <v>CEL Express Premium Big</v>
      </c>
      <c r="C192" s="2">
        <f t="shared" si="88"/>
        <v>2</v>
      </c>
      <c r="D192" s="1" t="str">
        <f t="shared" si="89"/>
        <v>5-10</v>
      </c>
      <c r="E192" s="1" t="str">
        <f t="shared" si="90"/>
        <v>¥61,9 + ¥0,032/1 г</v>
      </c>
      <c r="F192" s="1" t="str">
        <f t="shared" si="91"/>
        <v>¥65,4 + ¥0,032/1 г</v>
      </c>
      <c r="G192" s="1" t="str">
        <f t="shared" si="92"/>
        <v>Запрещено</v>
      </c>
      <c r="L192" s="1">
        <v>2</v>
      </c>
      <c r="M192" s="1" t="s">
        <v>392</v>
      </c>
      <c r="N192" s="1" t="s">
        <v>261</v>
      </c>
      <c r="O192" s="1" t="s">
        <v>363</v>
      </c>
      <c r="P192" s="1">
        <v>61.9</v>
      </c>
      <c r="Q192" s="1">
        <v>32</v>
      </c>
      <c r="R192" s="1" t="s">
        <v>384</v>
      </c>
      <c r="S192" s="1">
        <f t="shared" si="62"/>
        <v>5</v>
      </c>
      <c r="T192" s="1">
        <v>10</v>
      </c>
      <c r="U192" s="1" t="s">
        <v>264</v>
      </c>
    </row>
    <row r="193" spans="2:21">
      <c r="B193" s="1" t="str">
        <f t="shared" si="87"/>
        <v>UNI Express Premium Big</v>
      </c>
      <c r="C193" s="2">
        <f t="shared" si="88"/>
        <v>2</v>
      </c>
      <c r="D193" s="1" t="str">
        <f t="shared" si="89"/>
        <v>5-10</v>
      </c>
      <c r="E193" s="1" t="str">
        <f t="shared" si="90"/>
        <v>$8,55 + $0,00441/1 г</v>
      </c>
      <c r="F193" s="1" t="str">
        <f t="shared" si="91"/>
        <v>$9,04 + $0,00441/1 г</v>
      </c>
      <c r="G193" s="1" t="str">
        <f t="shared" si="92"/>
        <v>Разрешено</v>
      </c>
      <c r="L193" s="1">
        <v>2</v>
      </c>
      <c r="M193" s="1" t="s">
        <v>386</v>
      </c>
      <c r="N193" s="1" t="s">
        <v>261</v>
      </c>
      <c r="O193" s="1" t="s">
        <v>363</v>
      </c>
      <c r="P193" s="1">
        <v>8.55</v>
      </c>
      <c r="Q193" s="1">
        <v>4.41</v>
      </c>
      <c r="R193" s="1" t="s">
        <v>387</v>
      </c>
      <c r="S193" s="1">
        <f t="shared" si="62"/>
        <v>5</v>
      </c>
      <c r="T193" s="1">
        <v>10</v>
      </c>
      <c r="U193" s="1" t="s">
        <v>388</v>
      </c>
    </row>
    <row r="194" spans="2:21">
      <c r="B194" s="1" t="str">
        <f t="shared" si="87"/>
        <v>IML Express Premium Big</v>
      </c>
      <c r="C194" s="2">
        <f t="shared" si="88"/>
        <v>4</v>
      </c>
      <c r="D194" s="1" t="str">
        <f t="shared" si="89"/>
        <v>3-8</v>
      </c>
      <c r="E194" s="1" t="str">
        <f t="shared" si="90"/>
        <v>¥61,95 + ¥0,033/1 г</v>
      </c>
      <c r="F194" s="1" t="str">
        <f t="shared" si="91"/>
        <v>¥65,45 + ¥0,033/1 г</v>
      </c>
      <c r="G194" s="1" t="str">
        <f t="shared" si="92"/>
        <v>Разрешено</v>
      </c>
      <c r="L194" s="1">
        <v>4</v>
      </c>
      <c r="M194" s="1" t="s">
        <v>395</v>
      </c>
      <c r="N194" s="1" t="s">
        <v>261</v>
      </c>
      <c r="O194" s="1" t="s">
        <v>363</v>
      </c>
      <c r="P194" s="1">
        <v>61.95</v>
      </c>
      <c r="Q194" s="1">
        <v>33</v>
      </c>
      <c r="R194" s="1" t="s">
        <v>384</v>
      </c>
      <c r="S194" s="1">
        <f t="shared" si="62"/>
        <v>3</v>
      </c>
      <c r="T194" s="1">
        <v>8</v>
      </c>
      <c r="U194" s="1" t="s">
        <v>277</v>
      </c>
    </row>
    <row r="195" spans="2:21">
      <c r="B195" s="1" t="str">
        <f t="shared" si="87"/>
        <v>Ural Express Premium Big</v>
      </c>
      <c r="C195" s="2">
        <f t="shared" si="88"/>
        <v>5</v>
      </c>
      <c r="D195" s="1" t="str">
        <f t="shared" si="89"/>
        <v>5-10</v>
      </c>
      <c r="E195" s="1" t="str">
        <f t="shared" si="90"/>
        <v>¥62 + ¥0,033/1 г</v>
      </c>
      <c r="F195" s="1" t="str">
        <f t="shared" si="91"/>
        <v>¥65,5 + ¥0,033/1 г</v>
      </c>
      <c r="G195" s="1" t="str">
        <f t="shared" si="92"/>
        <v>Запрещено</v>
      </c>
      <c r="L195" s="1">
        <v>5</v>
      </c>
      <c r="M195" s="1" t="s">
        <v>396</v>
      </c>
      <c r="N195" s="1" t="s">
        <v>261</v>
      </c>
      <c r="O195" s="1" t="s">
        <v>363</v>
      </c>
      <c r="P195" s="1">
        <v>62</v>
      </c>
      <c r="Q195" s="1">
        <v>33</v>
      </c>
      <c r="R195" s="1" t="s">
        <v>384</v>
      </c>
      <c r="S195" s="1">
        <f t="shared" si="62"/>
        <v>5</v>
      </c>
      <c r="T195" s="1">
        <v>10</v>
      </c>
      <c r="U195" s="1" t="s">
        <v>264</v>
      </c>
    </row>
    <row r="196" spans="2:21">
      <c r="B196" s="1" t="str">
        <f t="shared" si="87"/>
        <v>TFS Express Premium Big</v>
      </c>
      <c r="C196" s="2">
        <f t="shared" si="88"/>
        <v>6</v>
      </c>
      <c r="D196" s="1" t="str">
        <f t="shared" si="89"/>
        <v>5-10</v>
      </c>
      <c r="E196" s="1" t="str">
        <f t="shared" si="90"/>
        <v>¥62 + ¥0,033/1 г</v>
      </c>
      <c r="F196" s="1" t="str">
        <f t="shared" si="91"/>
        <v>¥65,5 + ¥0,033/1 г</v>
      </c>
      <c r="G196" s="1" t="str">
        <f t="shared" si="92"/>
        <v>Разрешено</v>
      </c>
      <c r="L196" s="1">
        <v>6</v>
      </c>
      <c r="M196" s="1" t="s">
        <v>398</v>
      </c>
      <c r="N196" s="1" t="s">
        <v>261</v>
      </c>
      <c r="O196" s="1" t="s">
        <v>363</v>
      </c>
      <c r="P196" s="1">
        <v>62</v>
      </c>
      <c r="Q196" s="1">
        <v>33</v>
      </c>
      <c r="R196" s="1" t="s">
        <v>384</v>
      </c>
      <c r="S196" s="1">
        <f t="shared" ref="S196:S215" si="93">T196-5</f>
        <v>5</v>
      </c>
      <c r="T196" s="1">
        <v>10</v>
      </c>
      <c r="U196" s="1" t="s">
        <v>388</v>
      </c>
    </row>
    <row r="198" spans="2:21">
      <c r="B198" s="1" t="str">
        <f t="shared" ref="B198:B207" si="94">M198&amp;" "&amp;N198&amp;" "&amp;O198</f>
        <v>UNI Standard Premium Big</v>
      </c>
      <c r="C198" s="2">
        <f t="shared" ref="C198:C207" si="95">L198</f>
        <v>1</v>
      </c>
      <c r="D198" s="1" t="str">
        <f t="shared" ref="D198:D207" si="96">T198-5&amp;"-"&amp;T198</f>
        <v>10-15</v>
      </c>
      <c r="E198" s="1" t="str">
        <f t="shared" ref="E198:E207" si="97">IF(R198="CNY","¥"&amp;P198&amp;" + ¥"&amp;Q198/1000&amp;"/1 г",IF(R198="USD","$"&amp;P198&amp;" + $"&amp;Q198/1000&amp;"/1 г","Error"))</f>
        <v>$3,76 + $0,00335/1 г</v>
      </c>
      <c r="F198" s="1" t="str">
        <f t="shared" ref="F198:F207" si="98">IF(R198="CNY","¥"&amp;P198+3.5&amp;" + ¥"&amp;Q198/1000&amp;"/1 г",IF(R198="USD","$"&amp;P198+0.49&amp;" + $"&amp;Q198/1000&amp;"/1 г","Error"))</f>
        <v>$4,25 + $0,00335/1 г</v>
      </c>
      <c r="G198" s="1" t="str">
        <f t="shared" ref="G198:G207" si="99">IF(OR(U198="Разрешено",U198="允许"),"Разрешено",IF(OR(U198="Запрещено",U198="禁止"),"Запрещено","Error"))</f>
        <v>Разрешено</v>
      </c>
      <c r="L198" s="1">
        <v>1</v>
      </c>
      <c r="M198" s="1" t="s">
        <v>386</v>
      </c>
      <c r="N198" s="1" t="s">
        <v>280</v>
      </c>
      <c r="O198" s="1" t="s">
        <v>363</v>
      </c>
      <c r="P198" s="1">
        <v>3.76</v>
      </c>
      <c r="Q198" s="1">
        <v>3.35</v>
      </c>
      <c r="R198" s="1" t="s">
        <v>387</v>
      </c>
      <c r="S198" s="1">
        <f t="shared" si="93"/>
        <v>10</v>
      </c>
      <c r="T198" s="1">
        <v>15</v>
      </c>
      <c r="U198" s="1" t="s">
        <v>388</v>
      </c>
    </row>
    <row r="199" spans="2:21">
      <c r="B199" s="1" t="str">
        <f t="shared" si="94"/>
        <v>OYX  Standard Premium Big</v>
      </c>
      <c r="C199" s="2">
        <f t="shared" si="95"/>
        <v>2</v>
      </c>
      <c r="D199" s="1" t="str">
        <f t="shared" si="96"/>
        <v>10-15</v>
      </c>
      <c r="E199" s="1" t="str">
        <f t="shared" si="97"/>
        <v>¥27 + ¥0,0248/1 г</v>
      </c>
      <c r="F199" s="1" t="str">
        <f t="shared" si="98"/>
        <v>¥30,5 + ¥0,0248/1 г</v>
      </c>
      <c r="G199" s="1" t="str">
        <f t="shared" si="99"/>
        <v>Разрешено</v>
      </c>
      <c r="L199" s="1">
        <v>2</v>
      </c>
      <c r="M199" s="1" t="s">
        <v>390</v>
      </c>
      <c r="N199" s="1" t="s">
        <v>280</v>
      </c>
      <c r="O199" s="1" t="s">
        <v>363</v>
      </c>
      <c r="P199" s="1">
        <v>27</v>
      </c>
      <c r="Q199" s="1">
        <v>24.8</v>
      </c>
      <c r="R199" s="1" t="s">
        <v>384</v>
      </c>
      <c r="S199" s="1">
        <f t="shared" si="93"/>
        <v>10</v>
      </c>
      <c r="T199" s="1">
        <v>15</v>
      </c>
      <c r="U199" s="1" t="s">
        <v>277</v>
      </c>
    </row>
    <row r="200" spans="2:21">
      <c r="B200" s="1" t="str">
        <f t="shared" si="94"/>
        <v>Xingyuan Standard Premium Big</v>
      </c>
      <c r="C200" s="2">
        <f t="shared" si="95"/>
        <v>3</v>
      </c>
      <c r="D200" s="1" t="str">
        <f t="shared" si="96"/>
        <v>10-15</v>
      </c>
      <c r="E200" s="1" t="str">
        <f t="shared" si="97"/>
        <v>¥27 + ¥0,025/1 г</v>
      </c>
      <c r="F200" s="1" t="str">
        <f t="shared" si="98"/>
        <v>¥30,5 + ¥0,025/1 г</v>
      </c>
      <c r="G200" s="1" t="str">
        <f t="shared" si="99"/>
        <v>Разрешено</v>
      </c>
      <c r="L200" s="1">
        <v>3</v>
      </c>
      <c r="M200" s="1" t="s">
        <v>391</v>
      </c>
      <c r="N200" s="1" t="s">
        <v>280</v>
      </c>
      <c r="O200" s="1" t="s">
        <v>363</v>
      </c>
      <c r="P200" s="1">
        <v>27</v>
      </c>
      <c r="Q200" s="1">
        <v>25</v>
      </c>
      <c r="R200" s="1" t="s">
        <v>384</v>
      </c>
      <c r="S200" s="1">
        <f t="shared" si="93"/>
        <v>10</v>
      </c>
      <c r="T200" s="1">
        <v>15</v>
      </c>
      <c r="U200" s="1" t="s">
        <v>277</v>
      </c>
    </row>
    <row r="201" spans="2:21">
      <c r="B201" s="1" t="str">
        <f t="shared" si="94"/>
        <v>ABT  Standard Premium Big</v>
      </c>
      <c r="C201" s="2">
        <f t="shared" si="95"/>
        <v>3</v>
      </c>
      <c r="D201" s="1" t="str">
        <f t="shared" si="96"/>
        <v>10-15</v>
      </c>
      <c r="E201" s="1" t="str">
        <f t="shared" si="97"/>
        <v>¥27 + ¥0,025/1 г</v>
      </c>
      <c r="F201" s="1" t="str">
        <f t="shared" si="98"/>
        <v>¥30,5 + ¥0,025/1 г</v>
      </c>
      <c r="G201" s="1" t="str">
        <f t="shared" si="99"/>
        <v>Разрешено</v>
      </c>
      <c r="L201" s="1">
        <v>3</v>
      </c>
      <c r="M201" s="1" t="s">
        <v>389</v>
      </c>
      <c r="N201" s="1" t="s">
        <v>280</v>
      </c>
      <c r="O201" s="1" t="s">
        <v>363</v>
      </c>
      <c r="P201" s="1">
        <v>27</v>
      </c>
      <c r="Q201" s="1">
        <v>25</v>
      </c>
      <c r="R201" s="1" t="s">
        <v>384</v>
      </c>
      <c r="S201" s="1">
        <f t="shared" si="93"/>
        <v>10</v>
      </c>
      <c r="T201" s="1">
        <v>15</v>
      </c>
      <c r="U201" s="1" t="s">
        <v>277</v>
      </c>
    </row>
    <row r="202" spans="2:21">
      <c r="B202" s="1" t="str">
        <f t="shared" si="94"/>
        <v>RETS Standard Premium Big</v>
      </c>
      <c r="C202" s="2">
        <f t="shared" si="95"/>
        <v>5</v>
      </c>
      <c r="D202" s="1" t="str">
        <f t="shared" si="96"/>
        <v>7-12</v>
      </c>
      <c r="E202" s="1" t="str">
        <f t="shared" si="97"/>
        <v>¥61,9 + ¥0,024/1 г</v>
      </c>
      <c r="F202" s="1" t="str">
        <f t="shared" si="98"/>
        <v>¥65,4 + ¥0,024/1 г</v>
      </c>
      <c r="G202" s="1" t="str">
        <f t="shared" si="99"/>
        <v>Разрешено</v>
      </c>
      <c r="L202" s="1">
        <v>5</v>
      </c>
      <c r="M202" s="1" t="s">
        <v>383</v>
      </c>
      <c r="N202" s="1" t="s">
        <v>280</v>
      </c>
      <c r="O202" s="1" t="s">
        <v>363</v>
      </c>
      <c r="P202" s="1">
        <v>61.9</v>
      </c>
      <c r="Q202" s="1">
        <v>24</v>
      </c>
      <c r="R202" s="1" t="s">
        <v>384</v>
      </c>
      <c r="S202" s="1">
        <f t="shared" si="93"/>
        <v>7</v>
      </c>
      <c r="T202" s="1">
        <v>12</v>
      </c>
      <c r="U202" s="1" t="s">
        <v>388</v>
      </c>
    </row>
    <row r="203" spans="2:21">
      <c r="B203" s="1" t="str">
        <f t="shared" si="94"/>
        <v>CEL Standard Premium Big</v>
      </c>
      <c r="C203" s="2">
        <f t="shared" si="95"/>
        <v>6</v>
      </c>
      <c r="D203" s="1" t="str">
        <f t="shared" si="96"/>
        <v>8-13</v>
      </c>
      <c r="E203" s="1" t="str">
        <f t="shared" si="97"/>
        <v>¥61,9 + ¥0,025/1 г</v>
      </c>
      <c r="F203" s="1" t="str">
        <f t="shared" si="98"/>
        <v>¥65,4 + ¥0,025/1 г</v>
      </c>
      <c r="G203" s="1" t="str">
        <f t="shared" si="99"/>
        <v>Разрешено</v>
      </c>
      <c r="L203" s="1">
        <v>6</v>
      </c>
      <c r="M203" s="1" t="s">
        <v>392</v>
      </c>
      <c r="N203" s="1" t="s">
        <v>280</v>
      </c>
      <c r="O203" s="1" t="s">
        <v>363</v>
      </c>
      <c r="P203" s="1">
        <v>61.9</v>
      </c>
      <c r="Q203" s="1">
        <v>25</v>
      </c>
      <c r="R203" s="1" t="s">
        <v>384</v>
      </c>
      <c r="S203" s="1">
        <f t="shared" si="93"/>
        <v>8</v>
      </c>
      <c r="T203" s="1">
        <v>13</v>
      </c>
      <c r="U203" s="1" t="s">
        <v>277</v>
      </c>
    </row>
    <row r="204" spans="2:21">
      <c r="B204" s="1" t="str">
        <f t="shared" si="94"/>
        <v>Ural Standard Premium Big</v>
      </c>
      <c r="C204" s="2">
        <f t="shared" si="95"/>
        <v>7</v>
      </c>
      <c r="D204" s="1" t="str">
        <f t="shared" si="96"/>
        <v>10-15</v>
      </c>
      <c r="E204" s="1" t="str">
        <f t="shared" si="97"/>
        <v>¥62 + ¥0,025/1 г</v>
      </c>
      <c r="F204" s="1" t="str">
        <f t="shared" si="98"/>
        <v>¥65,5 + ¥0,025/1 г</v>
      </c>
      <c r="G204" s="1" t="str">
        <f t="shared" si="99"/>
        <v>Разрешено</v>
      </c>
      <c r="L204" s="1">
        <v>7</v>
      </c>
      <c r="M204" s="1" t="s">
        <v>396</v>
      </c>
      <c r="N204" s="1" t="s">
        <v>280</v>
      </c>
      <c r="O204" s="1" t="s">
        <v>363</v>
      </c>
      <c r="P204" s="1">
        <v>62</v>
      </c>
      <c r="Q204" s="1">
        <v>25</v>
      </c>
      <c r="R204" s="1" t="s">
        <v>384</v>
      </c>
      <c r="S204" s="1">
        <f t="shared" si="93"/>
        <v>10</v>
      </c>
      <c r="T204" s="1">
        <v>15</v>
      </c>
      <c r="U204" s="1" t="s">
        <v>277</v>
      </c>
    </row>
    <row r="205" spans="2:21">
      <c r="B205" s="1" t="str">
        <f t="shared" si="94"/>
        <v>IML Standard Premium Big</v>
      </c>
      <c r="C205" s="2">
        <f t="shared" si="95"/>
        <v>7</v>
      </c>
      <c r="D205" s="1" t="str">
        <f t="shared" si="96"/>
        <v>9-14</v>
      </c>
      <c r="E205" s="1" t="str">
        <f t="shared" si="97"/>
        <v>¥61,95 + ¥0,025/1 г</v>
      </c>
      <c r="F205" s="1" t="str">
        <f t="shared" si="98"/>
        <v>¥65,45 + ¥0,025/1 г</v>
      </c>
      <c r="G205" s="1" t="str">
        <f t="shared" si="99"/>
        <v>Разрешено</v>
      </c>
      <c r="L205" s="1">
        <v>7</v>
      </c>
      <c r="M205" s="1" t="s">
        <v>395</v>
      </c>
      <c r="N205" s="1" t="s">
        <v>280</v>
      </c>
      <c r="O205" s="1" t="s">
        <v>363</v>
      </c>
      <c r="P205" s="1">
        <v>61.95</v>
      </c>
      <c r="Q205" s="1">
        <v>25</v>
      </c>
      <c r="R205" s="1" t="s">
        <v>384</v>
      </c>
      <c r="S205" s="1">
        <f t="shared" si="93"/>
        <v>9</v>
      </c>
      <c r="T205" s="1">
        <v>14</v>
      </c>
      <c r="U205" s="1" t="s">
        <v>277</v>
      </c>
    </row>
    <row r="206" spans="2:21">
      <c r="B206" s="1" t="str">
        <f t="shared" si="94"/>
        <v>ATC Standard Premium Big</v>
      </c>
      <c r="C206" s="2">
        <f t="shared" si="95"/>
        <v>9</v>
      </c>
      <c r="D206" s="1" t="str">
        <f t="shared" si="96"/>
        <v>10-15</v>
      </c>
      <c r="E206" s="1" t="str">
        <f t="shared" si="97"/>
        <v>¥62 + ¥0,025/1 г</v>
      </c>
      <c r="F206" s="1" t="str">
        <f t="shared" si="98"/>
        <v>¥65,5 + ¥0,025/1 г</v>
      </c>
      <c r="G206" s="1" t="str">
        <f t="shared" si="99"/>
        <v>Разрешено</v>
      </c>
      <c r="L206" s="1">
        <v>9</v>
      </c>
      <c r="M206" s="1" t="s">
        <v>399</v>
      </c>
      <c r="N206" s="1" t="s">
        <v>280</v>
      </c>
      <c r="O206" s="1" t="s">
        <v>363</v>
      </c>
      <c r="P206" s="1">
        <v>62</v>
      </c>
      <c r="Q206" s="1">
        <v>25</v>
      </c>
      <c r="R206" s="1" t="s">
        <v>384</v>
      </c>
      <c r="S206" s="1">
        <f t="shared" si="93"/>
        <v>10</v>
      </c>
      <c r="T206" s="1">
        <v>15</v>
      </c>
      <c r="U206" s="1" t="s">
        <v>388</v>
      </c>
    </row>
    <row r="207" spans="2:21">
      <c r="B207" s="1" t="str">
        <f t="shared" si="94"/>
        <v>TFS Standard Premium Big</v>
      </c>
      <c r="C207" s="2">
        <f t="shared" si="95"/>
        <v>10</v>
      </c>
      <c r="D207" s="1" t="str">
        <f t="shared" si="96"/>
        <v>10-15</v>
      </c>
      <c r="E207" s="1" t="str">
        <f t="shared" si="97"/>
        <v>¥62 + ¥0,025/1 г</v>
      </c>
      <c r="F207" s="1" t="str">
        <f t="shared" si="98"/>
        <v>¥65,5 + ¥0,025/1 г</v>
      </c>
      <c r="G207" s="1" t="str">
        <f t="shared" si="99"/>
        <v>Разрешено</v>
      </c>
      <c r="L207" s="1">
        <v>10</v>
      </c>
      <c r="M207" s="1" t="s">
        <v>398</v>
      </c>
      <c r="N207" s="1" t="s">
        <v>280</v>
      </c>
      <c r="O207" s="1" t="s">
        <v>363</v>
      </c>
      <c r="P207" s="1">
        <v>62</v>
      </c>
      <c r="Q207" s="1">
        <v>25</v>
      </c>
      <c r="R207" s="1" t="s">
        <v>384</v>
      </c>
      <c r="S207" s="1">
        <f t="shared" si="93"/>
        <v>10</v>
      </c>
      <c r="T207" s="1">
        <v>15</v>
      </c>
      <c r="U207" s="1" t="s">
        <v>388</v>
      </c>
    </row>
    <row r="209" spans="2:21">
      <c r="B209" s="1" t="str">
        <f t="shared" ref="B209:B215" si="100">M209&amp;" "&amp;N209&amp;" "&amp;O209</f>
        <v>RETS Economy Premium Big</v>
      </c>
      <c r="C209" s="2">
        <f t="shared" ref="C209:C215" si="101">L209</f>
        <v>1</v>
      </c>
      <c r="D209" s="1" t="str">
        <f t="shared" ref="D209:D215" si="102">T209-5&amp;"-"&amp;T209</f>
        <v>13-18</v>
      </c>
      <c r="E209" s="1" t="str">
        <f t="shared" ref="E209:E215" si="103">IF(R209="CNY","¥"&amp;P209&amp;" + ¥"&amp;Q209/1000&amp;"/1 г",IF(R209="USD","$"&amp;P209&amp;" + $"&amp;Q209/1000&amp;"/1 г","Error"))</f>
        <v>¥61,9 + ¥0,017/1 г</v>
      </c>
      <c r="F209" s="1" t="str">
        <f t="shared" ref="F209:F215" si="104">IF(R209="CNY","¥"&amp;P209+3.5&amp;" + ¥"&amp;Q209/1000&amp;"/1 г",IF(R209="USD","$"&amp;P209+0.49&amp;" + $"&amp;Q209/1000&amp;"/1 г","Error"))</f>
        <v>¥65,4 + ¥0,017/1 г</v>
      </c>
      <c r="G209" s="1" t="str">
        <f t="shared" ref="G209:G215" si="105">IF(OR(U209="Разрешено",U209="允许"),"Разрешено",IF(OR(U209="Запрещено",U209="禁止"),"Запрещено","Error"))</f>
        <v>Разрешено</v>
      </c>
      <c r="L209" s="1">
        <v>1</v>
      </c>
      <c r="M209" s="1" t="s">
        <v>383</v>
      </c>
      <c r="N209" s="1" t="s">
        <v>287</v>
      </c>
      <c r="O209" s="1" t="s">
        <v>363</v>
      </c>
      <c r="P209" s="1">
        <v>61.9</v>
      </c>
      <c r="Q209" s="1">
        <v>17</v>
      </c>
      <c r="R209" s="1" t="s">
        <v>384</v>
      </c>
      <c r="S209" s="1">
        <f t="shared" si="93"/>
        <v>13</v>
      </c>
      <c r="T209" s="1">
        <v>18</v>
      </c>
      <c r="U209" s="1" t="s">
        <v>388</v>
      </c>
    </row>
    <row r="210" spans="2:21">
      <c r="B210" s="1" t="str">
        <f t="shared" si="100"/>
        <v>CEL Economy Premium Big</v>
      </c>
      <c r="C210" s="2">
        <f t="shared" si="101"/>
        <v>2</v>
      </c>
      <c r="D210" s="1" t="str">
        <f t="shared" si="102"/>
        <v>15-20</v>
      </c>
      <c r="E210" s="1" t="str">
        <f t="shared" si="103"/>
        <v>¥61,9 + ¥0,017/1 г</v>
      </c>
      <c r="F210" s="1" t="str">
        <f t="shared" si="104"/>
        <v>¥65,4 + ¥0,017/1 г</v>
      </c>
      <c r="G210" s="1" t="str">
        <f t="shared" si="105"/>
        <v>Разрешено</v>
      </c>
      <c r="L210" s="1">
        <v>2</v>
      </c>
      <c r="M210" s="1" t="s">
        <v>392</v>
      </c>
      <c r="N210" s="1" t="s">
        <v>287</v>
      </c>
      <c r="O210" s="1" t="s">
        <v>363</v>
      </c>
      <c r="P210" s="1">
        <v>61.9</v>
      </c>
      <c r="Q210" s="1">
        <v>17</v>
      </c>
      <c r="R210" s="1" t="s">
        <v>384</v>
      </c>
      <c r="S210" s="1">
        <f t="shared" si="93"/>
        <v>15</v>
      </c>
      <c r="T210" s="1">
        <v>20</v>
      </c>
      <c r="U210" s="1" t="s">
        <v>277</v>
      </c>
    </row>
    <row r="211" spans="2:21">
      <c r="B211" s="1" t="str">
        <f t="shared" si="100"/>
        <v>UNI Economy Premium Big</v>
      </c>
      <c r="C211" s="2">
        <f t="shared" si="101"/>
        <v>3</v>
      </c>
      <c r="D211" s="1" t="str">
        <f t="shared" si="102"/>
        <v>20-25</v>
      </c>
      <c r="E211" s="1" t="str">
        <f t="shared" si="103"/>
        <v>$8,31 + $0,00228/1 г</v>
      </c>
      <c r="F211" s="1" t="str">
        <f t="shared" si="104"/>
        <v>$8,8 + $0,00228/1 г</v>
      </c>
      <c r="G211" s="1" t="str">
        <f t="shared" si="105"/>
        <v>Разрешено</v>
      </c>
      <c r="L211" s="1">
        <v>3</v>
      </c>
      <c r="M211" s="1" t="s">
        <v>386</v>
      </c>
      <c r="N211" s="1" t="s">
        <v>287</v>
      </c>
      <c r="O211" s="1" t="s">
        <v>363</v>
      </c>
      <c r="P211" s="1">
        <v>8.31</v>
      </c>
      <c r="Q211" s="1">
        <v>2.28</v>
      </c>
      <c r="R211" s="1" t="s">
        <v>387</v>
      </c>
      <c r="S211" s="1">
        <f t="shared" si="93"/>
        <v>20</v>
      </c>
      <c r="T211" s="1">
        <v>25</v>
      </c>
      <c r="U211" s="1" t="s">
        <v>388</v>
      </c>
    </row>
    <row r="212" spans="2:21">
      <c r="B212" s="1" t="str">
        <f t="shared" si="100"/>
        <v>GUOO Economy Premium Big</v>
      </c>
      <c r="C212" s="2">
        <f t="shared" si="101"/>
        <v>4</v>
      </c>
      <c r="D212" s="1" t="str">
        <f t="shared" si="102"/>
        <v>15-20</v>
      </c>
      <c r="E212" s="1" t="str">
        <f t="shared" si="103"/>
        <v>¥62 + ¥0,017/1 г</v>
      </c>
      <c r="F212" s="1" t="str">
        <f t="shared" si="104"/>
        <v>¥65,5 + ¥0,017/1 г</v>
      </c>
      <c r="G212" s="1" t="str">
        <f t="shared" si="105"/>
        <v>Разрешено</v>
      </c>
      <c r="L212" s="1">
        <v>4</v>
      </c>
      <c r="M212" s="1" t="s">
        <v>397</v>
      </c>
      <c r="N212" s="1" t="s">
        <v>287</v>
      </c>
      <c r="O212" s="1" t="s">
        <v>363</v>
      </c>
      <c r="P212" s="1">
        <v>62</v>
      </c>
      <c r="Q212" s="1">
        <v>17</v>
      </c>
      <c r="R212" s="1" t="s">
        <v>384</v>
      </c>
      <c r="S212" s="1">
        <f t="shared" si="93"/>
        <v>15</v>
      </c>
      <c r="T212" s="1">
        <v>20</v>
      </c>
      <c r="U212" s="1" t="s">
        <v>277</v>
      </c>
    </row>
    <row r="213" spans="2:21">
      <c r="B213" s="1" t="str">
        <f t="shared" si="100"/>
        <v>IML Economy Premium Big</v>
      </c>
      <c r="C213" s="2">
        <f t="shared" si="101"/>
        <v>5</v>
      </c>
      <c r="D213" s="1" t="str">
        <f t="shared" si="102"/>
        <v>19-24</v>
      </c>
      <c r="E213" s="1" t="str">
        <f t="shared" si="103"/>
        <v>¥61,95 + ¥0,017/1 г</v>
      </c>
      <c r="F213" s="1" t="str">
        <f t="shared" si="104"/>
        <v>¥65,45 + ¥0,017/1 г</v>
      </c>
      <c r="G213" s="1" t="str">
        <f t="shared" si="105"/>
        <v>Разрешено</v>
      </c>
      <c r="L213" s="1">
        <v>5</v>
      </c>
      <c r="M213" s="1" t="s">
        <v>395</v>
      </c>
      <c r="N213" s="1" t="s">
        <v>287</v>
      </c>
      <c r="O213" s="1" t="s">
        <v>363</v>
      </c>
      <c r="P213" s="1">
        <v>61.95</v>
      </c>
      <c r="Q213" s="1">
        <v>17</v>
      </c>
      <c r="R213" s="1" t="s">
        <v>384</v>
      </c>
      <c r="S213" s="1">
        <f t="shared" si="93"/>
        <v>19</v>
      </c>
      <c r="T213" s="1">
        <v>24</v>
      </c>
      <c r="U213" s="1" t="s">
        <v>277</v>
      </c>
    </row>
    <row r="214" spans="2:21">
      <c r="B214" s="1" t="str">
        <f t="shared" si="100"/>
        <v>ATC Economy Premium Big</v>
      </c>
      <c r="C214" s="2">
        <f t="shared" si="101"/>
        <v>6</v>
      </c>
      <c r="D214" s="1" t="str">
        <f t="shared" si="102"/>
        <v>20-25</v>
      </c>
      <c r="E214" s="1" t="str">
        <f t="shared" si="103"/>
        <v>¥61,98 + ¥0,017/1 г</v>
      </c>
      <c r="F214" s="1" t="str">
        <f t="shared" si="104"/>
        <v>¥65,48 + ¥0,017/1 г</v>
      </c>
      <c r="G214" s="1" t="str">
        <f t="shared" si="105"/>
        <v>Разрешено</v>
      </c>
      <c r="L214" s="1">
        <v>6</v>
      </c>
      <c r="M214" s="1" t="s">
        <v>399</v>
      </c>
      <c r="N214" s="1" t="s">
        <v>287</v>
      </c>
      <c r="O214" s="1" t="s">
        <v>363</v>
      </c>
      <c r="P214" s="1">
        <v>61.98</v>
      </c>
      <c r="Q214" s="1">
        <v>17</v>
      </c>
      <c r="R214" s="1" t="s">
        <v>384</v>
      </c>
      <c r="S214" s="1">
        <f t="shared" si="93"/>
        <v>20</v>
      </c>
      <c r="T214" s="1">
        <v>25</v>
      </c>
      <c r="U214" s="1" t="s">
        <v>388</v>
      </c>
    </row>
    <row r="215" spans="2:21">
      <c r="B215" s="1" t="str">
        <f t="shared" si="100"/>
        <v>TFS Economy Premium Big</v>
      </c>
      <c r="C215" s="2">
        <f t="shared" si="101"/>
        <v>7</v>
      </c>
      <c r="D215" s="1" t="str">
        <f t="shared" si="102"/>
        <v>15-20</v>
      </c>
      <c r="E215" s="1" t="str">
        <f t="shared" si="103"/>
        <v>¥62 + ¥0,017/1 г</v>
      </c>
      <c r="F215" s="1" t="str">
        <f t="shared" si="104"/>
        <v>¥65,5 + ¥0,017/1 г</v>
      </c>
      <c r="G215" s="1" t="str">
        <f t="shared" si="105"/>
        <v>Разрешено</v>
      </c>
      <c r="L215" s="1">
        <v>7</v>
      </c>
      <c r="M215" s="1" t="s">
        <v>398</v>
      </c>
      <c r="N215" s="1" t="s">
        <v>287</v>
      </c>
      <c r="O215" s="1" t="s">
        <v>363</v>
      </c>
      <c r="P215" s="1">
        <v>62</v>
      </c>
      <c r="Q215" s="1">
        <v>17</v>
      </c>
      <c r="R215" s="1" t="s">
        <v>384</v>
      </c>
      <c r="S215" s="1">
        <f t="shared" si="93"/>
        <v>15</v>
      </c>
      <c r="T215" s="1">
        <v>20</v>
      </c>
      <c r="U215" s="1" t="s">
        <v>388</v>
      </c>
    </row>
  </sheetData>
  <conditionalFormatting sqref="E3:G215">
    <cfRule type="cellIs" dxfId="0" priority="1" operator="equal">
      <formula>"Error"</formula>
    </cfRule>
  </conditionalFormatting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S25"/>
  <sheetViews>
    <sheetView zoomScale="60" zoomScaleNormal="60" workbookViewId="0">
      <selection activeCell="B4" sqref="B4"/>
    </sheetView>
  </sheetViews>
  <sheetFormatPr defaultColWidth="9" defaultRowHeight="16.8"/>
  <cols>
    <col min="1" max="1" width="85.5859375" customWidth="1"/>
  </cols>
  <sheetData>
    <row r="3" spans="2:19">
      <c r="B3" t="s">
        <v>397</v>
      </c>
      <c r="C3" t="s">
        <v>383</v>
      </c>
      <c r="D3" t="s">
        <v>393</v>
      </c>
      <c r="E3" t="s">
        <v>396</v>
      </c>
      <c r="F3" t="s">
        <v>395</v>
      </c>
      <c r="G3" t="s">
        <v>398</v>
      </c>
      <c r="H3" t="s">
        <v>392</v>
      </c>
      <c r="I3" t="s">
        <v>404</v>
      </c>
      <c r="J3" t="s">
        <v>391</v>
      </c>
      <c r="K3" t="s">
        <v>389</v>
      </c>
      <c r="L3" t="s">
        <v>390</v>
      </c>
      <c r="M3" t="s">
        <v>394</v>
      </c>
      <c r="N3" t="s">
        <v>402</v>
      </c>
      <c r="O3" t="s">
        <v>399</v>
      </c>
      <c r="P3" t="s">
        <v>386</v>
      </c>
      <c r="Q3" t="s">
        <v>403</v>
      </c>
      <c r="R3" t="s">
        <v>400</v>
      </c>
      <c r="S3" t="s">
        <v>401</v>
      </c>
    </row>
    <row r="4" spans="1:19">
      <c r="A4" t="s">
        <v>405</v>
      </c>
      <c r="B4" t="s">
        <v>363</v>
      </c>
      <c r="C4" t="s">
        <v>363</v>
      </c>
      <c r="D4" t="s">
        <v>363</v>
      </c>
      <c r="E4" t="s">
        <v>363</v>
      </c>
      <c r="F4" t="s">
        <v>363</v>
      </c>
      <c r="G4" t="s">
        <v>363</v>
      </c>
      <c r="H4" t="s">
        <v>363</v>
      </c>
      <c r="I4" t="s">
        <v>363</v>
      </c>
      <c r="J4" t="s">
        <v>363</v>
      </c>
      <c r="K4" t="s">
        <v>363</v>
      </c>
      <c r="L4" t="s">
        <v>363</v>
      </c>
      <c r="M4" t="s">
        <v>363</v>
      </c>
      <c r="N4" t="s">
        <v>363</v>
      </c>
      <c r="O4" t="s">
        <v>363</v>
      </c>
      <c r="P4" t="s">
        <v>363</v>
      </c>
      <c r="Q4" t="s">
        <v>363</v>
      </c>
      <c r="R4" t="s">
        <v>363</v>
      </c>
      <c r="S4" t="s">
        <v>363</v>
      </c>
    </row>
    <row r="5" spans="2:19">
      <c r="B5" t="s">
        <v>287</v>
      </c>
      <c r="C5" t="s">
        <v>287</v>
      </c>
      <c r="D5" t="s">
        <v>287</v>
      </c>
      <c r="E5" t="s">
        <v>287</v>
      </c>
      <c r="F5" t="s">
        <v>287</v>
      </c>
      <c r="G5" t="s">
        <v>287</v>
      </c>
      <c r="H5" t="s">
        <v>287</v>
      </c>
      <c r="I5" t="s">
        <v>287</v>
      </c>
      <c r="J5" t="s">
        <v>287</v>
      </c>
      <c r="K5" t="s">
        <v>287</v>
      </c>
      <c r="L5" t="s">
        <v>287</v>
      </c>
      <c r="M5" t="s">
        <v>287</v>
      </c>
      <c r="N5" t="s">
        <v>287</v>
      </c>
      <c r="O5" t="s">
        <v>287</v>
      </c>
      <c r="P5" t="s">
        <v>287</v>
      </c>
      <c r="Q5" t="s">
        <v>287</v>
      </c>
      <c r="R5" t="s">
        <v>287</v>
      </c>
      <c r="S5" t="s">
        <v>287</v>
      </c>
    </row>
    <row r="6" spans="1:1">
      <c r="A6" t="s">
        <v>406</v>
      </c>
    </row>
    <row r="7" spans="1:19">
      <c r="A7" t="s">
        <v>407</v>
      </c>
      <c r="B7">
        <v>62</v>
      </c>
      <c r="C7">
        <v>61.9</v>
      </c>
      <c r="D7" t="s">
        <v>270</v>
      </c>
      <c r="E7" t="s">
        <v>270</v>
      </c>
      <c r="F7">
        <v>61.95</v>
      </c>
      <c r="G7">
        <v>62</v>
      </c>
      <c r="H7">
        <v>61.9</v>
      </c>
      <c r="I7" t="s">
        <v>270</v>
      </c>
      <c r="J7" t="s">
        <v>270</v>
      </c>
      <c r="K7" t="s">
        <v>270</v>
      </c>
      <c r="L7" t="s">
        <v>270</v>
      </c>
      <c r="M7" t="s">
        <v>270</v>
      </c>
      <c r="N7" t="s">
        <v>270</v>
      </c>
      <c r="O7">
        <v>61.98</v>
      </c>
      <c r="P7">
        <v>8.31</v>
      </c>
      <c r="Q7" t="s">
        <v>270</v>
      </c>
      <c r="R7" t="s">
        <v>270</v>
      </c>
      <c r="S7" t="s">
        <v>270</v>
      </c>
    </row>
    <row r="8" spans="1:19">
      <c r="A8" t="s">
        <v>408</v>
      </c>
      <c r="B8">
        <v>17</v>
      </c>
      <c r="C8">
        <v>17</v>
      </c>
      <c r="D8" t="s">
        <v>270</v>
      </c>
      <c r="E8" t="s">
        <v>270</v>
      </c>
      <c r="F8">
        <v>17</v>
      </c>
      <c r="G8">
        <v>17</v>
      </c>
      <c r="H8">
        <v>17</v>
      </c>
      <c r="I8" t="s">
        <v>270</v>
      </c>
      <c r="J8" t="s">
        <v>270</v>
      </c>
      <c r="K8" t="s">
        <v>270</v>
      </c>
      <c r="L8" t="s">
        <v>270</v>
      </c>
      <c r="M8" t="s">
        <v>270</v>
      </c>
      <c r="N8" t="s">
        <v>270</v>
      </c>
      <c r="O8">
        <v>17</v>
      </c>
      <c r="P8">
        <v>2.28</v>
      </c>
      <c r="Q8" t="s">
        <v>270</v>
      </c>
      <c r="R8" t="s">
        <v>270</v>
      </c>
      <c r="S8" t="s">
        <v>270</v>
      </c>
    </row>
    <row r="9" spans="1:19">
      <c r="A9" t="s">
        <v>409</v>
      </c>
      <c r="B9">
        <v>20</v>
      </c>
      <c r="C9">
        <v>18</v>
      </c>
      <c r="D9" t="s">
        <v>270</v>
      </c>
      <c r="E9" t="s">
        <v>270</v>
      </c>
      <c r="F9">
        <v>24</v>
      </c>
      <c r="G9">
        <v>20</v>
      </c>
      <c r="H9">
        <v>20</v>
      </c>
      <c r="I9" t="s">
        <v>270</v>
      </c>
      <c r="J9" t="s">
        <v>270</v>
      </c>
      <c r="K9" t="s">
        <v>270</v>
      </c>
      <c r="L9" t="s">
        <v>270</v>
      </c>
      <c r="M9" t="s">
        <v>270</v>
      </c>
      <c r="N9" t="s">
        <v>270</v>
      </c>
      <c r="O9">
        <v>25</v>
      </c>
      <c r="P9">
        <v>25</v>
      </c>
      <c r="Q9" t="s">
        <v>270</v>
      </c>
      <c r="R9" t="s">
        <v>270</v>
      </c>
      <c r="S9" t="s">
        <v>270</v>
      </c>
    </row>
    <row r="10" spans="1:19">
      <c r="A10" t="s">
        <v>410</v>
      </c>
      <c r="B10">
        <v>18</v>
      </c>
      <c r="C10">
        <v>13</v>
      </c>
      <c r="D10" t="s">
        <v>270</v>
      </c>
      <c r="E10" t="s">
        <v>270</v>
      </c>
      <c r="F10">
        <v>5</v>
      </c>
      <c r="G10">
        <v>2</v>
      </c>
      <c r="H10">
        <v>2</v>
      </c>
      <c r="I10" t="s">
        <v>270</v>
      </c>
      <c r="J10" t="s">
        <v>270</v>
      </c>
      <c r="K10" t="s">
        <v>270</v>
      </c>
      <c r="L10" t="s">
        <v>270</v>
      </c>
      <c r="M10" t="s">
        <v>270</v>
      </c>
      <c r="N10" t="s">
        <v>270</v>
      </c>
      <c r="O10">
        <v>2</v>
      </c>
      <c r="P10">
        <v>8</v>
      </c>
      <c r="Q10" t="s">
        <v>270</v>
      </c>
      <c r="R10" t="s">
        <v>270</v>
      </c>
      <c r="S10" t="s">
        <v>270</v>
      </c>
    </row>
    <row r="11" spans="1:19">
      <c r="A11" t="s">
        <v>411</v>
      </c>
      <c r="B11">
        <v>5</v>
      </c>
      <c r="C11">
        <v>6</v>
      </c>
      <c r="D11" t="s">
        <v>270</v>
      </c>
      <c r="E11" t="s">
        <v>270</v>
      </c>
      <c r="F11">
        <v>2</v>
      </c>
      <c r="G11">
        <v>1</v>
      </c>
      <c r="H11">
        <v>2</v>
      </c>
      <c r="I11" t="s">
        <v>270</v>
      </c>
      <c r="J11" t="s">
        <v>270</v>
      </c>
      <c r="K11" t="s">
        <v>270</v>
      </c>
      <c r="L11" t="s">
        <v>270</v>
      </c>
      <c r="M11" t="s">
        <v>270</v>
      </c>
      <c r="N11" t="s">
        <v>270</v>
      </c>
      <c r="O11">
        <v>1</v>
      </c>
      <c r="P11">
        <v>3</v>
      </c>
      <c r="Q11" t="s">
        <v>270</v>
      </c>
      <c r="R11" t="s">
        <v>270</v>
      </c>
      <c r="S11" t="s">
        <v>270</v>
      </c>
    </row>
    <row r="12" spans="1:19">
      <c r="A12" t="s">
        <v>412</v>
      </c>
      <c r="B12">
        <v>8</v>
      </c>
      <c r="C12">
        <v>6</v>
      </c>
      <c r="D12" t="s">
        <v>270</v>
      </c>
      <c r="E12" t="s">
        <v>270</v>
      </c>
      <c r="F12">
        <v>1</v>
      </c>
      <c r="G12" t="s">
        <v>270</v>
      </c>
      <c r="H12">
        <v>2</v>
      </c>
      <c r="I12" t="s">
        <v>270</v>
      </c>
      <c r="J12" t="s">
        <v>270</v>
      </c>
      <c r="K12" t="s">
        <v>270</v>
      </c>
      <c r="L12" t="s">
        <v>270</v>
      </c>
      <c r="M12" t="s">
        <v>270</v>
      </c>
      <c r="N12" t="s">
        <v>270</v>
      </c>
      <c r="O12" t="s">
        <v>270</v>
      </c>
      <c r="P12">
        <v>3</v>
      </c>
      <c r="Q12" t="s">
        <v>270</v>
      </c>
      <c r="R12" t="s">
        <v>270</v>
      </c>
      <c r="S12" t="s">
        <v>270</v>
      </c>
    </row>
    <row r="13" spans="1:19">
      <c r="A13" t="s">
        <v>413</v>
      </c>
      <c r="B13">
        <v>3</v>
      </c>
      <c r="C13">
        <v>13</v>
      </c>
      <c r="D13" t="s">
        <v>270</v>
      </c>
      <c r="E13" t="s">
        <v>270</v>
      </c>
      <c r="F13">
        <v>2</v>
      </c>
      <c r="G13" t="s">
        <v>270</v>
      </c>
      <c r="H13">
        <v>4</v>
      </c>
      <c r="I13" t="s">
        <v>270</v>
      </c>
      <c r="J13" t="s">
        <v>270</v>
      </c>
      <c r="K13" t="s">
        <v>270</v>
      </c>
      <c r="L13" t="s">
        <v>270</v>
      </c>
      <c r="M13" t="s">
        <v>270</v>
      </c>
      <c r="N13" t="s">
        <v>270</v>
      </c>
      <c r="O13">
        <v>1</v>
      </c>
      <c r="P13">
        <v>6</v>
      </c>
      <c r="Q13" t="s">
        <v>270</v>
      </c>
      <c r="R13" t="s">
        <v>270</v>
      </c>
      <c r="S13" t="s">
        <v>270</v>
      </c>
    </row>
    <row r="14" spans="1:19">
      <c r="A14" t="s">
        <v>414</v>
      </c>
      <c r="B14" t="s">
        <v>415</v>
      </c>
      <c r="C14" t="s">
        <v>415</v>
      </c>
      <c r="D14" t="s">
        <v>270</v>
      </c>
      <c r="E14" t="s">
        <v>270</v>
      </c>
      <c r="F14" t="s">
        <v>415</v>
      </c>
      <c r="G14" t="s">
        <v>415</v>
      </c>
      <c r="H14" t="s">
        <v>415</v>
      </c>
      <c r="I14" t="s">
        <v>270</v>
      </c>
      <c r="J14" t="s">
        <v>270</v>
      </c>
      <c r="K14" t="s">
        <v>270</v>
      </c>
      <c r="L14" t="s">
        <v>270</v>
      </c>
      <c r="M14" t="s">
        <v>270</v>
      </c>
      <c r="N14" t="s">
        <v>270</v>
      </c>
      <c r="O14" t="s">
        <v>415</v>
      </c>
      <c r="P14" t="s">
        <v>416</v>
      </c>
      <c r="Q14" t="s">
        <v>270</v>
      </c>
      <c r="R14" t="s">
        <v>270</v>
      </c>
      <c r="S14" t="s">
        <v>270</v>
      </c>
    </row>
    <row r="15" spans="1:19">
      <c r="A15" t="s">
        <v>417</v>
      </c>
      <c r="B15" t="s">
        <v>415</v>
      </c>
      <c r="C15" t="s">
        <v>415</v>
      </c>
      <c r="D15" t="s">
        <v>270</v>
      </c>
      <c r="E15" t="s">
        <v>270</v>
      </c>
      <c r="F15" t="s">
        <v>415</v>
      </c>
      <c r="G15" t="s">
        <v>415</v>
      </c>
      <c r="H15" t="s">
        <v>415</v>
      </c>
      <c r="I15" t="s">
        <v>270</v>
      </c>
      <c r="J15" t="s">
        <v>270</v>
      </c>
      <c r="K15" t="s">
        <v>270</v>
      </c>
      <c r="L15" t="s">
        <v>270</v>
      </c>
      <c r="M15" t="s">
        <v>270</v>
      </c>
      <c r="N15" t="s">
        <v>270</v>
      </c>
      <c r="O15" t="s">
        <v>415</v>
      </c>
      <c r="P15" t="s">
        <v>416</v>
      </c>
      <c r="Q15" t="s">
        <v>270</v>
      </c>
      <c r="R15" t="s">
        <v>270</v>
      </c>
      <c r="S15" t="s">
        <v>270</v>
      </c>
    </row>
    <row r="16" spans="1:19">
      <c r="A16" t="s">
        <v>418</v>
      </c>
      <c r="B16" t="s">
        <v>415</v>
      </c>
      <c r="C16" t="s">
        <v>415</v>
      </c>
      <c r="D16" t="s">
        <v>270</v>
      </c>
      <c r="E16" t="s">
        <v>270</v>
      </c>
      <c r="F16" t="s">
        <v>415</v>
      </c>
      <c r="G16" t="s">
        <v>416</v>
      </c>
      <c r="H16" t="s">
        <v>415</v>
      </c>
      <c r="I16" t="s">
        <v>270</v>
      </c>
      <c r="J16" t="s">
        <v>270</v>
      </c>
      <c r="K16" t="s">
        <v>270</v>
      </c>
      <c r="L16" t="s">
        <v>270</v>
      </c>
      <c r="M16" t="s">
        <v>270</v>
      </c>
      <c r="N16" t="s">
        <v>270</v>
      </c>
      <c r="O16" t="s">
        <v>415</v>
      </c>
      <c r="P16" t="s">
        <v>416</v>
      </c>
      <c r="Q16" t="s">
        <v>270</v>
      </c>
      <c r="R16" t="s">
        <v>270</v>
      </c>
      <c r="S16" t="s">
        <v>270</v>
      </c>
    </row>
    <row r="17" spans="1:19">
      <c r="A17" t="s">
        <v>419</v>
      </c>
      <c r="B17" t="s">
        <v>416</v>
      </c>
      <c r="C17" t="s">
        <v>415</v>
      </c>
      <c r="D17" t="s">
        <v>270</v>
      </c>
      <c r="E17" t="s">
        <v>270</v>
      </c>
      <c r="F17" t="s">
        <v>416</v>
      </c>
      <c r="G17" t="s">
        <v>416</v>
      </c>
      <c r="H17" t="s">
        <v>416</v>
      </c>
      <c r="I17" t="s">
        <v>270</v>
      </c>
      <c r="J17" t="s">
        <v>270</v>
      </c>
      <c r="K17" t="s">
        <v>270</v>
      </c>
      <c r="L17" t="s">
        <v>270</v>
      </c>
      <c r="M17" t="s">
        <v>270</v>
      </c>
      <c r="N17" t="s">
        <v>270</v>
      </c>
      <c r="O17" t="s">
        <v>415</v>
      </c>
      <c r="P17" t="s">
        <v>416</v>
      </c>
      <c r="Q17" t="s">
        <v>270</v>
      </c>
      <c r="R17" t="s">
        <v>270</v>
      </c>
      <c r="S17" t="s">
        <v>270</v>
      </c>
    </row>
    <row r="18" spans="1:19">
      <c r="A18" t="s">
        <v>420</v>
      </c>
      <c r="B18">
        <v>2</v>
      </c>
      <c r="C18">
        <v>5</v>
      </c>
      <c r="D18" t="s">
        <v>270</v>
      </c>
      <c r="E18" t="s">
        <v>270</v>
      </c>
      <c r="F18">
        <v>5</v>
      </c>
      <c r="G18">
        <v>100</v>
      </c>
      <c r="H18">
        <v>5</v>
      </c>
      <c r="I18" t="s">
        <v>270</v>
      </c>
      <c r="J18" t="s">
        <v>270</v>
      </c>
      <c r="K18" t="s">
        <v>270</v>
      </c>
      <c r="L18" t="s">
        <v>270</v>
      </c>
      <c r="M18" t="s">
        <v>270</v>
      </c>
      <c r="N18" t="s">
        <v>270</v>
      </c>
      <c r="O18">
        <v>1</v>
      </c>
      <c r="P18" t="s">
        <v>270</v>
      </c>
      <c r="Q18" t="s">
        <v>270</v>
      </c>
      <c r="R18" t="s">
        <v>270</v>
      </c>
      <c r="S18" t="s">
        <v>270</v>
      </c>
    </row>
    <row r="20" spans="1:1">
      <c r="A20" t="s">
        <v>421</v>
      </c>
    </row>
    <row r="21" spans="1:19">
      <c r="A21" t="s">
        <v>422</v>
      </c>
      <c r="B21" t="s">
        <v>384</v>
      </c>
      <c r="C21" t="s">
        <v>384</v>
      </c>
      <c r="D21" t="s">
        <v>270</v>
      </c>
      <c r="E21" t="s">
        <v>270</v>
      </c>
      <c r="F21" t="s">
        <v>384</v>
      </c>
      <c r="G21" t="s">
        <v>384</v>
      </c>
      <c r="H21" t="s">
        <v>384</v>
      </c>
      <c r="I21" t="s">
        <v>270</v>
      </c>
      <c r="J21" t="s">
        <v>270</v>
      </c>
      <c r="K21" t="s">
        <v>270</v>
      </c>
      <c r="L21" t="s">
        <v>270</v>
      </c>
      <c r="M21" t="s">
        <v>270</v>
      </c>
      <c r="N21" t="s">
        <v>270</v>
      </c>
      <c r="O21" t="s">
        <v>384</v>
      </c>
      <c r="P21" t="s">
        <v>387</v>
      </c>
      <c r="Q21" t="s">
        <v>270</v>
      </c>
      <c r="R21" t="s">
        <v>270</v>
      </c>
      <c r="S21" t="s">
        <v>270</v>
      </c>
    </row>
    <row r="22" spans="1:19">
      <c r="A22" t="s">
        <v>423</v>
      </c>
      <c r="B22" t="s">
        <v>277</v>
      </c>
      <c r="C22" t="s">
        <v>388</v>
      </c>
      <c r="D22" t="s">
        <v>270</v>
      </c>
      <c r="E22" t="s">
        <v>270</v>
      </c>
      <c r="F22" t="s">
        <v>277</v>
      </c>
      <c r="G22" t="s">
        <v>388</v>
      </c>
      <c r="H22" t="s">
        <v>277</v>
      </c>
      <c r="I22" t="s">
        <v>270</v>
      </c>
      <c r="J22" t="s">
        <v>270</v>
      </c>
      <c r="K22" t="s">
        <v>270</v>
      </c>
      <c r="L22" t="s">
        <v>270</v>
      </c>
      <c r="M22" t="s">
        <v>270</v>
      </c>
      <c r="N22" t="s">
        <v>270</v>
      </c>
      <c r="O22" t="s">
        <v>388</v>
      </c>
      <c r="P22" t="s">
        <v>388</v>
      </c>
      <c r="Q22" t="s">
        <v>270</v>
      </c>
      <c r="R22" t="s">
        <v>270</v>
      </c>
      <c r="S22" t="s">
        <v>270</v>
      </c>
    </row>
    <row r="23" spans="1:19">
      <c r="A23" t="s">
        <v>424</v>
      </c>
      <c r="B23">
        <v>200000</v>
      </c>
      <c r="C23">
        <v>2600</v>
      </c>
      <c r="D23" t="s">
        <v>270</v>
      </c>
      <c r="E23" t="s">
        <v>270</v>
      </c>
      <c r="F23">
        <v>50000</v>
      </c>
      <c r="G23">
        <v>10000</v>
      </c>
      <c r="H23">
        <v>10000</v>
      </c>
      <c r="I23" t="s">
        <v>270</v>
      </c>
      <c r="J23" t="s">
        <v>270</v>
      </c>
      <c r="K23" t="s">
        <v>270</v>
      </c>
      <c r="L23" t="s">
        <v>270</v>
      </c>
      <c r="M23" t="s">
        <v>270</v>
      </c>
      <c r="N23" t="s">
        <v>270</v>
      </c>
      <c r="O23">
        <v>5000</v>
      </c>
      <c r="P23">
        <v>10000</v>
      </c>
      <c r="Q23" t="s">
        <v>270</v>
      </c>
      <c r="R23" t="s">
        <v>270</v>
      </c>
      <c r="S23" t="s">
        <v>270</v>
      </c>
    </row>
    <row r="24" spans="1:19">
      <c r="A24" t="s">
        <v>425</v>
      </c>
      <c r="B24" t="s">
        <v>402</v>
      </c>
      <c r="C24" t="s">
        <v>402</v>
      </c>
      <c r="D24" t="s">
        <v>270</v>
      </c>
      <c r="E24" t="s">
        <v>270</v>
      </c>
      <c r="F24" t="s">
        <v>402</v>
      </c>
      <c r="G24" t="s">
        <v>426</v>
      </c>
      <c r="H24" t="s">
        <v>427</v>
      </c>
      <c r="I24" t="s">
        <v>270</v>
      </c>
      <c r="J24" t="s">
        <v>270</v>
      </c>
      <c r="K24" t="s">
        <v>270</v>
      </c>
      <c r="L24" t="s">
        <v>270</v>
      </c>
      <c r="M24" t="s">
        <v>270</v>
      </c>
      <c r="N24" t="s">
        <v>270</v>
      </c>
      <c r="O24" t="s">
        <v>428</v>
      </c>
      <c r="P24" t="s">
        <v>429</v>
      </c>
      <c r="Q24" t="s">
        <v>270</v>
      </c>
      <c r="R24" t="s">
        <v>270</v>
      </c>
      <c r="S24" t="s">
        <v>270</v>
      </c>
    </row>
    <row r="25" spans="1:19">
      <c r="A25" t="s">
        <v>430</v>
      </c>
      <c r="B25" t="s">
        <v>431</v>
      </c>
      <c r="C25" t="s">
        <v>432</v>
      </c>
      <c r="D25" t="s">
        <v>270</v>
      </c>
      <c r="E25" t="s">
        <v>270</v>
      </c>
      <c r="F25" t="s">
        <v>433</v>
      </c>
      <c r="G25" t="s">
        <v>434</v>
      </c>
      <c r="H25" t="s">
        <v>435</v>
      </c>
      <c r="I25" t="s">
        <v>270</v>
      </c>
      <c r="J25" t="s">
        <v>270</v>
      </c>
      <c r="K25" t="s">
        <v>270</v>
      </c>
      <c r="L25" t="s">
        <v>270</v>
      </c>
      <c r="M25" t="s">
        <v>270</v>
      </c>
      <c r="N25" t="s">
        <v>270</v>
      </c>
      <c r="O25" t="s">
        <v>436</v>
      </c>
      <c r="P25" t="s">
        <v>437</v>
      </c>
      <c r="Q25" t="s">
        <v>270</v>
      </c>
      <c r="R25" t="s">
        <v>270</v>
      </c>
      <c r="S25" t="s">
        <v>270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Ч1</vt:lpstr>
      <vt:lpstr>Ч2</vt:lpstr>
      <vt:lpstr>中国 rFBS</vt:lpstr>
      <vt:lpstr>Список без неинтегр. 3PL</vt:lpstr>
      <vt:lpstr>Лист1</vt:lpstr>
      <vt:lpstr>Лист2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Tarasova Yuliya Alekseevna</dc:creator>
  <cp:lastModifiedBy>halo！</cp:lastModifiedBy>
  <dcterms:created xsi:type="dcterms:W3CDTF">2024-08-16T20:39:00Z</dcterms:created>
  <dcterms:modified xsi:type="dcterms:W3CDTF">2026-05-20T00:56:08Z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D2862CD04964929A28960C6A04FB38B2_43</vt:lpwstr>
  </property>
  <property fmtid="{D5CDD505-2E9C-101B-9397-08002B2CF9AE}" pid="3" name="KSOProductBuildVer">
    <vt:lpwstr>2052-12.1.22553.22553</vt:lpwstr>
  </property>
</Properties>
</file>